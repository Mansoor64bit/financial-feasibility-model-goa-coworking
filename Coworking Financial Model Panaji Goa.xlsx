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G3\MBA\MBA SEM 4\MBA Internship\"/>
    </mc:Choice>
  </mc:AlternateContent>
  <xr:revisionPtr revIDLastSave="0" documentId="13_ncr:1_{26E37E96-5BA5-4A9A-8189-41D20872BA80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Navigation Tab" sheetId="19" r:id="rId1"/>
    <sheet name="Dashboard" sheetId="17" r:id="rId2"/>
    <sheet name="Input" sheetId="1" r:id="rId3"/>
    <sheet name="Assumptions" sheetId="2" r:id="rId4"/>
    <sheet name="Revenue" sheetId="3" r:id="rId5"/>
    <sheet name="Cost sheet" sheetId="4" r:id="rId6"/>
    <sheet name="Occupancy" sheetId="5" r:id="rId7"/>
    <sheet name="Revenue Model" sheetId="6" r:id="rId8"/>
    <sheet name="P&amp;L" sheetId="7" r:id="rId9"/>
    <sheet name="Cash Budget" sheetId="8" r:id="rId10"/>
    <sheet name="Working Capital" sheetId="9" r:id="rId11"/>
    <sheet name="Standard Cost" sheetId="10" r:id="rId12"/>
    <sheet name="Flexible Budget" sheetId="11" r:id="rId13"/>
    <sheet name="Break Even" sheetId="12" r:id="rId14"/>
    <sheet name="Sensitivity" sheetId="13" r:id="rId15"/>
    <sheet name="Investment Appraisal" sheetId="14" r:id="rId16"/>
    <sheet name="WACC" sheetId="18" r:id="rId17"/>
    <sheet name="Scenario " sheetId="15" r:id="rId18"/>
    <sheet name="Summary" sheetId="16" r:id="rId19"/>
  </sheets>
  <definedNames>
    <definedName name="_xlchart.v1.0" hidden="1">Dashboard!$CB$28</definedName>
    <definedName name="_xlchart.v1.1" hidden="1">Dashboard!$CC$26:$CH$27</definedName>
    <definedName name="_xlchart.v1.2" hidden="1">Dashboard!$CC$28:$CH$28</definedName>
    <definedName name="_xlchart.v1.3" hidden="1">'Investment Appraisal'!$B$49</definedName>
    <definedName name="_xlchart.v1.4" hidden="1">'Investment Appraisal'!$C$47:$H$48</definedName>
    <definedName name="_xlchart.v1.5" hidden="1">'Investment Appraisal'!$C$49:$H$49</definedName>
    <definedName name="_xlnm.Print_Titles" localSheetId="3">Assumptions!$1:$3</definedName>
    <definedName name="_xlnm.Print_Titles" localSheetId="13">'Break Even'!$1:$6</definedName>
    <definedName name="_xlnm.Print_Titles" localSheetId="9">'Cash Budget'!$1:$6</definedName>
    <definedName name="_xlnm.Print_Titles" localSheetId="5">'Cost sheet'!$1:$3</definedName>
    <definedName name="_xlnm.Print_Titles" localSheetId="12">'Flexible Budget'!$1:$6</definedName>
    <definedName name="_xlnm.Print_Titles" localSheetId="2">Input!$1:$3</definedName>
    <definedName name="_xlnm.Print_Titles" localSheetId="6">Occupancy!$1:$3</definedName>
    <definedName name="_xlnm.Print_Titles" localSheetId="8">'P&amp;L'!$1:$6</definedName>
    <definedName name="_xlnm.Print_Titles" localSheetId="4">Revenue!$1:$3</definedName>
    <definedName name="_xlnm.Print_Titles" localSheetId="7">'Revenue Model'!$1:$3</definedName>
    <definedName name="_xlnm.Print_Titles" localSheetId="11">'Standard Cost'!$1:$6</definedName>
    <definedName name="_xlnm.Print_Titles" localSheetId="10">'Working Capital'!$1:$6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E15" i="17" l="1"/>
  <c r="CE16" i="17"/>
  <c r="CE17" i="17"/>
  <c r="CE18" i="17"/>
  <c r="CE11" i="17" l="1"/>
  <c r="CE12" i="17"/>
  <c r="CE13" i="17"/>
  <c r="CE14" i="17"/>
  <c r="CE19" i="17"/>
  <c r="CE10" i="17"/>
  <c r="B71" i="12"/>
  <c r="B72" i="12"/>
  <c r="B73" i="12"/>
  <c r="B74" i="12"/>
  <c r="B75" i="12"/>
  <c r="B76" i="12"/>
  <c r="B77" i="12"/>
  <c r="B78" i="12"/>
  <c r="B79" i="12"/>
  <c r="B70" i="12"/>
  <c r="C12" i="1"/>
  <c r="C7" i="12"/>
  <c r="CB12" i="17"/>
  <c r="CB13" i="17"/>
  <c r="CB14" i="17"/>
  <c r="CB15" i="17"/>
  <c r="C6" i="18"/>
  <c r="C12" i="18" s="1"/>
  <c r="C13" i="18" s="1"/>
  <c r="C7" i="18"/>
  <c r="Y4" i="17"/>
  <c r="V4" i="17"/>
  <c r="P4" i="17"/>
  <c r="M4" i="17"/>
  <c r="B15" i="16"/>
  <c r="B11" i="16"/>
  <c r="B7" i="16"/>
  <c r="D19" i="15"/>
  <c r="D18" i="15"/>
  <c r="C12" i="15"/>
  <c r="D11" i="15"/>
  <c r="D9" i="15"/>
  <c r="C23" i="14"/>
  <c r="I18" i="14"/>
  <c r="H18" i="14"/>
  <c r="G18" i="14"/>
  <c r="F18" i="14"/>
  <c r="E18" i="14"/>
  <c r="D18" i="14"/>
  <c r="C18" i="14"/>
  <c r="C17" i="14"/>
  <c r="C16" i="14"/>
  <c r="C15" i="14"/>
  <c r="C14" i="14"/>
  <c r="C13" i="14"/>
  <c r="J12" i="14"/>
  <c r="J17" i="14" s="1"/>
  <c r="I12" i="14"/>
  <c r="I17" i="14" s="1"/>
  <c r="C12" i="14"/>
  <c r="C11" i="14"/>
  <c r="C10" i="14"/>
  <c r="C9" i="14"/>
  <c r="C8" i="14"/>
  <c r="J7" i="14"/>
  <c r="I7" i="14"/>
  <c r="H7" i="14"/>
  <c r="G7" i="14"/>
  <c r="F7" i="14"/>
  <c r="E7" i="14"/>
  <c r="D7" i="14"/>
  <c r="C61" i="12"/>
  <c r="C60" i="12"/>
  <c r="C59" i="12"/>
  <c r="C58" i="12"/>
  <c r="C57" i="12"/>
  <c r="C56" i="12"/>
  <c r="C55" i="12"/>
  <c r="C54" i="12"/>
  <c r="C53" i="12"/>
  <c r="C35" i="12"/>
  <c r="C20" i="12"/>
  <c r="C15" i="12"/>
  <c r="C9" i="12"/>
  <c r="C8" i="12"/>
  <c r="H33" i="11"/>
  <c r="G33" i="11"/>
  <c r="H31" i="11"/>
  <c r="G31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1" i="11"/>
  <c r="G11" i="11"/>
  <c r="E10" i="11"/>
  <c r="D10" i="11"/>
  <c r="C10" i="11"/>
  <c r="E9" i="11"/>
  <c r="D9" i="11"/>
  <c r="C9" i="11"/>
  <c r="E8" i="11"/>
  <c r="D8" i="11"/>
  <c r="C8" i="11"/>
  <c r="C46" i="10"/>
  <c r="E42" i="10"/>
  <c r="F25" i="10"/>
  <c r="C12" i="10"/>
  <c r="C9" i="10"/>
  <c r="C8" i="10"/>
  <c r="C7" i="10"/>
  <c r="G35" i="9"/>
  <c r="F35" i="9"/>
  <c r="E35" i="9"/>
  <c r="D35" i="9"/>
  <c r="C35" i="9"/>
  <c r="G34" i="9"/>
  <c r="F34" i="9"/>
  <c r="E34" i="9"/>
  <c r="D34" i="9"/>
  <c r="C34" i="9"/>
  <c r="N18" i="8"/>
  <c r="M18" i="8"/>
  <c r="L18" i="8"/>
  <c r="K18" i="8"/>
  <c r="J18" i="8"/>
  <c r="I18" i="8"/>
  <c r="H18" i="8"/>
  <c r="G18" i="8"/>
  <c r="F18" i="8"/>
  <c r="E18" i="8"/>
  <c r="D18" i="8"/>
  <c r="N9" i="8"/>
  <c r="M9" i="8"/>
  <c r="L9" i="8"/>
  <c r="K9" i="8"/>
  <c r="J9" i="8"/>
  <c r="I9" i="8"/>
  <c r="H9" i="8"/>
  <c r="G9" i="8"/>
  <c r="F9" i="8"/>
  <c r="E9" i="8"/>
  <c r="D9" i="8"/>
  <c r="C38" i="6"/>
  <c r="G25" i="6"/>
  <c r="F25" i="6"/>
  <c r="G24" i="6"/>
  <c r="F24" i="6"/>
  <c r="G23" i="6"/>
  <c r="F23" i="6"/>
  <c r="G22" i="6"/>
  <c r="F22" i="6"/>
  <c r="E23" i="5"/>
  <c r="F23" i="5" s="1"/>
  <c r="D23" i="5"/>
  <c r="C23" i="5"/>
  <c r="E22" i="5"/>
  <c r="F22" i="5" s="1"/>
  <c r="D22" i="5"/>
  <c r="C22" i="5"/>
  <c r="E21" i="5"/>
  <c r="D21" i="5"/>
  <c r="C21" i="5"/>
  <c r="E20" i="5"/>
  <c r="F20" i="5" s="1"/>
  <c r="D20" i="5"/>
  <c r="C20" i="5"/>
  <c r="E18" i="5"/>
  <c r="D18" i="5"/>
  <c r="D19" i="5" s="1"/>
  <c r="C18" i="5"/>
  <c r="C19" i="5" s="1"/>
  <c r="C12" i="5"/>
  <c r="C11" i="5"/>
  <c r="C10" i="5"/>
  <c r="C7" i="5"/>
  <c r="C49" i="4"/>
  <c r="C48" i="4"/>
  <c r="C47" i="4"/>
  <c r="E14" i="4"/>
  <c r="E13" i="4"/>
  <c r="E12" i="4"/>
  <c r="E11" i="4"/>
  <c r="E10" i="4"/>
  <c r="E9" i="4"/>
  <c r="E8" i="4"/>
  <c r="E7" i="4"/>
  <c r="F20" i="3"/>
  <c r="F19" i="3"/>
  <c r="F18" i="3"/>
  <c r="F17" i="3"/>
  <c r="D16" i="3"/>
  <c r="F21" i="6" s="1"/>
  <c r="C16" i="3"/>
  <c r="D15" i="3"/>
  <c r="F20" i="6" s="1"/>
  <c r="C15" i="3"/>
  <c r="D14" i="3"/>
  <c r="F19" i="6" s="1"/>
  <c r="C14" i="3"/>
  <c r="C10" i="3"/>
  <c r="C9" i="3"/>
  <c r="C7" i="3"/>
  <c r="C6" i="3"/>
  <c r="E47" i="2"/>
  <c r="E46" i="2"/>
  <c r="E45" i="2"/>
  <c r="E44" i="2"/>
  <c r="E43" i="2"/>
  <c r="C38" i="4" s="1"/>
  <c r="E40" i="2"/>
  <c r="E39" i="2"/>
  <c r="E38" i="2"/>
  <c r="E37" i="2"/>
  <c r="E36" i="2"/>
  <c r="E35" i="2"/>
  <c r="E34" i="2"/>
  <c r="E31" i="2"/>
  <c r="E30" i="2"/>
  <c r="E29" i="2"/>
  <c r="C24" i="4" s="1"/>
  <c r="E28" i="2"/>
  <c r="C23" i="4" s="1"/>
  <c r="E27" i="2"/>
  <c r="C22" i="4" s="1"/>
  <c r="E26" i="2"/>
  <c r="C21" i="4" s="1"/>
  <c r="E23" i="2"/>
  <c r="E22" i="2"/>
  <c r="E21" i="2"/>
  <c r="E20" i="2"/>
  <c r="E19" i="2"/>
  <c r="E16" i="2"/>
  <c r="C12" i="4" s="1"/>
  <c r="E15" i="2"/>
  <c r="C11" i="4" s="1"/>
  <c r="E14" i="2"/>
  <c r="C10" i="4" s="1"/>
  <c r="E13" i="2"/>
  <c r="C9" i="4" s="1"/>
  <c r="E12" i="2"/>
  <c r="C8" i="4" s="1"/>
  <c r="E11" i="2"/>
  <c r="E10" i="2"/>
  <c r="E9" i="2"/>
  <c r="E8" i="2"/>
  <c r="C32" i="14" l="1"/>
  <c r="C20" i="1"/>
  <c r="E23" i="14" s="1"/>
  <c r="D23" i="14"/>
  <c r="D55" i="12"/>
  <c r="D59" i="12"/>
  <c r="D58" i="12"/>
  <c r="D56" i="12"/>
  <c r="D60" i="12"/>
  <c r="D54" i="12"/>
  <c r="D53" i="12"/>
  <c r="D57" i="12"/>
  <c r="D61" i="12"/>
  <c r="G10" i="11"/>
  <c r="G8" i="11"/>
  <c r="C20" i="4"/>
  <c r="C13" i="4"/>
  <c r="H10" i="11"/>
  <c r="F10" i="11"/>
  <c r="H9" i="11"/>
  <c r="F9" i="11"/>
  <c r="G9" i="11"/>
  <c r="H8" i="11"/>
  <c r="F8" i="11"/>
  <c r="F21" i="5"/>
  <c r="E19" i="5"/>
  <c r="F19" i="5" s="1"/>
  <c r="F18" i="5"/>
  <c r="D25" i="6"/>
  <c r="C25" i="6"/>
  <c r="C13" i="6"/>
  <c r="I10" i="8"/>
  <c r="M10" i="8"/>
  <c r="H10" i="8"/>
  <c r="F10" i="8"/>
  <c r="D10" i="8"/>
  <c r="D24" i="6"/>
  <c r="C24" i="6"/>
  <c r="C10" i="8"/>
  <c r="C12" i="6"/>
  <c r="J10" i="8"/>
  <c r="K10" i="8"/>
  <c r="L10" i="8"/>
  <c r="N10" i="8"/>
  <c r="G10" i="8"/>
  <c r="E10" i="8"/>
  <c r="C23" i="6"/>
  <c r="C11" i="6"/>
  <c r="D23" i="6"/>
  <c r="E11" i="11"/>
  <c r="D11" i="11"/>
  <c r="D12" i="11" s="1"/>
  <c r="C11" i="11"/>
  <c r="C12" i="11" s="1"/>
  <c r="D22" i="6"/>
  <c r="C22" i="6"/>
  <c r="C10" i="6"/>
  <c r="E24" i="5"/>
  <c r="D24" i="5"/>
  <c r="D25" i="5" s="1"/>
  <c r="C24" i="5"/>
  <c r="C25" i="5" s="1"/>
  <c r="G21" i="6"/>
  <c r="F16" i="3"/>
  <c r="G20" i="6"/>
  <c r="F15" i="3"/>
  <c r="G19" i="6"/>
  <c r="F14" i="3"/>
  <c r="C33" i="10"/>
  <c r="D33" i="10" s="1"/>
  <c r="C42" i="4"/>
  <c r="C32" i="10"/>
  <c r="D32" i="10" s="1"/>
  <c r="C41" i="4"/>
  <c r="C31" i="10"/>
  <c r="D31" i="10" s="1"/>
  <c r="C40" i="4"/>
  <c r="C30" i="10"/>
  <c r="D30" i="10" s="1"/>
  <c r="C39" i="4"/>
  <c r="C29" i="10"/>
  <c r="D29" i="10" s="1"/>
  <c r="C33" i="4"/>
  <c r="C32" i="4"/>
  <c r="C31" i="4"/>
  <c r="C30" i="4"/>
  <c r="C29" i="4"/>
  <c r="C28" i="4"/>
  <c r="C27" i="4"/>
  <c r="C26" i="4"/>
  <c r="C25" i="4"/>
  <c r="C32" i="7"/>
  <c r="E32" i="7"/>
  <c r="F32" i="7"/>
  <c r="D32" i="7"/>
  <c r="G32" i="7"/>
  <c r="C11" i="15"/>
  <c r="D31" i="7"/>
  <c r="G31" i="7"/>
  <c r="C31" i="7"/>
  <c r="E31" i="7"/>
  <c r="F31" i="7"/>
  <c r="D28" i="15"/>
  <c r="D8" i="15"/>
  <c r="D39" i="15"/>
  <c r="C9" i="15"/>
  <c r="C14" i="4"/>
  <c r="C8" i="3"/>
  <c r="D10" i="15"/>
  <c r="D12" i="15"/>
  <c r="D32" i="15"/>
  <c r="D14" i="15"/>
  <c r="D13" i="15"/>
  <c r="C10" i="10"/>
  <c r="D17" i="15"/>
  <c r="C9" i="5"/>
  <c r="C8" i="5"/>
  <c r="C7" i="4"/>
  <c r="C11" i="10"/>
  <c r="C15" i="4" l="1"/>
  <c r="C16" i="12"/>
  <c r="H23" i="14"/>
  <c r="J23" i="14"/>
  <c r="F23" i="14"/>
  <c r="D32" i="14"/>
  <c r="I23" i="14"/>
  <c r="G23" i="14"/>
  <c r="E20" i="11"/>
  <c r="F20" i="11" s="1"/>
  <c r="F14" i="8"/>
  <c r="G18" i="7"/>
  <c r="K14" i="8"/>
  <c r="C18" i="7"/>
  <c r="F15" i="8"/>
  <c r="N14" i="8"/>
  <c r="BU28" i="17"/>
  <c r="D20" i="11"/>
  <c r="I14" i="8"/>
  <c r="L14" i="8"/>
  <c r="D14" i="8"/>
  <c r="F18" i="7"/>
  <c r="D80" i="4"/>
  <c r="C19" i="7"/>
  <c r="D19" i="7" s="1"/>
  <c r="H12" i="11"/>
  <c r="C47" i="15"/>
  <c r="C20" i="11"/>
  <c r="G14" i="8"/>
  <c r="J14" i="8"/>
  <c r="C14" i="8"/>
  <c r="E18" i="7"/>
  <c r="C80" i="4"/>
  <c r="G12" i="11"/>
  <c r="C17" i="15"/>
  <c r="E17" i="15" s="1"/>
  <c r="M14" i="8"/>
  <c r="E14" i="8"/>
  <c r="H14" i="8"/>
  <c r="C18" i="10"/>
  <c r="E18" i="10" s="1"/>
  <c r="D18" i="7"/>
  <c r="D21" i="11"/>
  <c r="L15" i="8"/>
  <c r="N15" i="8"/>
  <c r="I15" i="8"/>
  <c r="C15" i="8"/>
  <c r="BV28" i="17"/>
  <c r="M15" i="8"/>
  <c r="G15" i="8"/>
  <c r="E21" i="11"/>
  <c r="H15" i="8"/>
  <c r="C19" i="10"/>
  <c r="D19" i="10" s="1"/>
  <c r="C43" i="4"/>
  <c r="E15" i="8"/>
  <c r="C21" i="11"/>
  <c r="K15" i="8"/>
  <c r="D15" i="8"/>
  <c r="C18" i="15"/>
  <c r="F18" i="15" s="1"/>
  <c r="C17" i="9"/>
  <c r="D17" i="9" s="1"/>
  <c r="E17" i="9" s="1"/>
  <c r="F17" i="9" s="1"/>
  <c r="G17" i="9" s="1"/>
  <c r="J15" i="8"/>
  <c r="C34" i="4"/>
  <c r="E41" i="12" s="1"/>
  <c r="D13" i="6"/>
  <c r="E13" i="6" s="1"/>
  <c r="F13" i="6" s="1"/>
  <c r="G13" i="6" s="1"/>
  <c r="D12" i="6"/>
  <c r="E12" i="6" s="1"/>
  <c r="F12" i="6" s="1"/>
  <c r="G12" i="6" s="1"/>
  <c r="D11" i="6"/>
  <c r="E11" i="6" s="1"/>
  <c r="F11" i="6" s="1"/>
  <c r="G11" i="6" s="1"/>
  <c r="D10" i="6"/>
  <c r="E10" i="6" s="1"/>
  <c r="F10" i="6" s="1"/>
  <c r="G10" i="6" s="1"/>
  <c r="D39" i="5"/>
  <c r="D38" i="5"/>
  <c r="D37" i="5"/>
  <c r="D36" i="5"/>
  <c r="D35" i="5"/>
  <c r="C39" i="5"/>
  <c r="C38" i="5"/>
  <c r="C37" i="5"/>
  <c r="C36" i="5"/>
  <c r="C35" i="5"/>
  <c r="C9" i="6"/>
  <c r="CB11" i="17" s="1"/>
  <c r="C21" i="6"/>
  <c r="D21" i="6"/>
  <c r="C8" i="6"/>
  <c r="CB10" i="17" s="1"/>
  <c r="C20" i="6"/>
  <c r="D20" i="6"/>
  <c r="F21" i="3"/>
  <c r="E19" i="6" s="1"/>
  <c r="C7" i="6"/>
  <c r="CB9" i="17" s="1"/>
  <c r="C19" i="6"/>
  <c r="D19" i="6"/>
  <c r="C23" i="7"/>
  <c r="C24" i="10"/>
  <c r="C26" i="11"/>
  <c r="D26" i="11"/>
  <c r="E26" i="11"/>
  <c r="F26" i="11" s="1"/>
  <c r="C22" i="7"/>
  <c r="C23" i="10"/>
  <c r="C25" i="11"/>
  <c r="D25" i="11"/>
  <c r="E25" i="11"/>
  <c r="F25" i="11" s="1"/>
  <c r="BX28" i="17"/>
  <c r="C21" i="7"/>
  <c r="C22" i="10"/>
  <c r="C24" i="11"/>
  <c r="D24" i="11"/>
  <c r="E24" i="11"/>
  <c r="C21" i="10"/>
  <c r="C23" i="11"/>
  <c r="D23" i="11"/>
  <c r="E23" i="11"/>
  <c r="C20" i="7"/>
  <c r="C20" i="10"/>
  <c r="D16" i="8"/>
  <c r="F16" i="8"/>
  <c r="I16" i="8"/>
  <c r="K16" i="8"/>
  <c r="N16" i="8"/>
  <c r="C16" i="8"/>
  <c r="E16" i="8"/>
  <c r="G16" i="8"/>
  <c r="H16" i="8"/>
  <c r="J16" i="8"/>
  <c r="L16" i="8"/>
  <c r="M16" i="8"/>
  <c r="C22" i="11"/>
  <c r="D22" i="11"/>
  <c r="E22" i="11"/>
  <c r="C19" i="15"/>
  <c r="BW28" i="17"/>
  <c r="E12" i="15"/>
  <c r="F12" i="15"/>
  <c r="C63" i="4"/>
  <c r="C30" i="7"/>
  <c r="D30" i="7"/>
  <c r="D33" i="7" s="1"/>
  <c r="F30" i="7"/>
  <c r="F33" i="7" s="1"/>
  <c r="E30" i="7"/>
  <c r="E33" i="7" s="1"/>
  <c r="G30" i="7"/>
  <c r="G33" i="7" s="1"/>
  <c r="C10" i="15"/>
  <c r="O10" i="8"/>
  <c r="H32" i="7"/>
  <c r="H31" i="7"/>
  <c r="F11" i="11"/>
  <c r="F12" i="11" s="1"/>
  <c r="E12" i="11"/>
  <c r="F24" i="5"/>
  <c r="E25" i="5"/>
  <c r="F11" i="15"/>
  <c r="E11" i="15"/>
  <c r="F9" i="15"/>
  <c r="E9" i="15"/>
  <c r="D21" i="13" l="1"/>
  <c r="C25" i="10"/>
  <c r="H12" i="14"/>
  <c r="H17" i="14" s="1"/>
  <c r="G68" i="7"/>
  <c r="G12" i="14"/>
  <c r="G17" i="14" s="1"/>
  <c r="F68" i="7"/>
  <c r="E12" i="14"/>
  <c r="E17" i="14" s="1"/>
  <c r="D68" i="7"/>
  <c r="F12" i="14"/>
  <c r="F17" i="14" s="1"/>
  <c r="E68" i="7"/>
  <c r="F17" i="15"/>
  <c r="C14" i="6"/>
  <c r="C74" i="4" s="1"/>
  <c r="B52" i="16" s="1"/>
  <c r="J26" i="13"/>
  <c r="G20" i="13"/>
  <c r="C27" i="5"/>
  <c r="G8" i="13"/>
  <c r="J24" i="13"/>
  <c r="G15" i="13"/>
  <c r="F46" i="12"/>
  <c r="H7" i="13"/>
  <c r="H11" i="13"/>
  <c r="I17" i="8"/>
  <c r="I19" i="8" s="1"/>
  <c r="I12" i="13"/>
  <c r="I23" i="13"/>
  <c r="E45" i="12"/>
  <c r="C23" i="12"/>
  <c r="I14" i="13"/>
  <c r="D23" i="13"/>
  <c r="C20" i="15"/>
  <c r="D40" i="12"/>
  <c r="H27" i="13"/>
  <c r="G25" i="13"/>
  <c r="G13" i="13"/>
  <c r="D19" i="13"/>
  <c r="G24" i="13"/>
  <c r="E49" i="12"/>
  <c r="D44" i="12"/>
  <c r="C29" i="12"/>
  <c r="D49" i="7"/>
  <c r="H10" i="13"/>
  <c r="E26" i="13"/>
  <c r="D14" i="13"/>
  <c r="I19" i="13"/>
  <c r="G22" i="13"/>
  <c r="D48" i="12"/>
  <c r="F42" i="12"/>
  <c r="C52" i="10"/>
  <c r="E56" i="12"/>
  <c r="F56" i="12" s="1"/>
  <c r="C15" i="11"/>
  <c r="C16" i="11" s="1"/>
  <c r="C17" i="11" s="1"/>
  <c r="C47" i="5"/>
  <c r="I9" i="13"/>
  <c r="I21" i="13"/>
  <c r="E58" i="12"/>
  <c r="F58" i="12" s="1"/>
  <c r="H18" i="7"/>
  <c r="I25" i="13"/>
  <c r="C13" i="13"/>
  <c r="H13" i="13"/>
  <c r="E14" i="13"/>
  <c r="E19" i="13"/>
  <c r="H20" i="13"/>
  <c r="H22" i="13"/>
  <c r="C24" i="13"/>
  <c r="F47" i="12"/>
  <c r="E46" i="12"/>
  <c r="F43" i="12"/>
  <c r="C33" i="12"/>
  <c r="D39" i="10"/>
  <c r="E57" i="12"/>
  <c r="F57" i="12" s="1"/>
  <c r="F19" i="10"/>
  <c r="C51" i="10"/>
  <c r="G12" i="13"/>
  <c r="G10" i="13"/>
  <c r="H9" i="13"/>
  <c r="J25" i="13"/>
  <c r="G26" i="13"/>
  <c r="E27" i="13"/>
  <c r="D13" i="13"/>
  <c r="I13" i="13"/>
  <c r="G14" i="13"/>
  <c r="D15" i="13"/>
  <c r="I15" i="13"/>
  <c r="G19" i="13"/>
  <c r="D20" i="13"/>
  <c r="I20" i="13"/>
  <c r="G21" i="13"/>
  <c r="D22" i="13"/>
  <c r="I22" i="13"/>
  <c r="G23" i="13"/>
  <c r="D24" i="13"/>
  <c r="H11" i="16"/>
  <c r="F48" i="12"/>
  <c r="E47" i="12"/>
  <c r="D46" i="12"/>
  <c r="F44" i="12"/>
  <c r="E43" i="12"/>
  <c r="D42" i="12"/>
  <c r="F40" i="12"/>
  <c r="C32" i="12"/>
  <c r="C27" i="12"/>
  <c r="H21" i="16" s="1"/>
  <c r="E25" i="10"/>
  <c r="C49" i="5"/>
  <c r="H29" i="16" s="1"/>
  <c r="E54" i="12"/>
  <c r="BV19" i="17" s="1"/>
  <c r="D20" i="15"/>
  <c r="L17" i="8"/>
  <c r="L19" i="8" s="1"/>
  <c r="F17" i="8"/>
  <c r="F19" i="8" s="1"/>
  <c r="M17" i="8"/>
  <c r="M19" i="8" s="1"/>
  <c r="C38" i="10"/>
  <c r="C50" i="4"/>
  <c r="D12" i="13"/>
  <c r="D11" i="13"/>
  <c r="G7" i="13"/>
  <c r="D9" i="13"/>
  <c r="I7" i="13"/>
  <c r="C25" i="13"/>
  <c r="F26" i="13"/>
  <c r="C27" i="13"/>
  <c r="C15" i="13"/>
  <c r="H15" i="13"/>
  <c r="C20" i="13"/>
  <c r="E21" i="13"/>
  <c r="C22" i="13"/>
  <c r="E23" i="13"/>
  <c r="D49" i="12"/>
  <c r="D45" i="12"/>
  <c r="E42" i="12"/>
  <c r="D41" i="12"/>
  <c r="C28" i="12"/>
  <c r="U14" i="17" s="1"/>
  <c r="C50" i="5"/>
  <c r="C52" i="4"/>
  <c r="D26" i="15"/>
  <c r="N17" i="8"/>
  <c r="N19" i="8" s="1"/>
  <c r="H17" i="8"/>
  <c r="H19" i="8" s="1"/>
  <c r="C22" i="12"/>
  <c r="E26" i="5"/>
  <c r="F26" i="5" s="1"/>
  <c r="G11" i="13"/>
  <c r="E8" i="13"/>
  <c r="E25" i="13"/>
  <c r="I24" i="13"/>
  <c r="F25" i="13"/>
  <c r="C26" i="13"/>
  <c r="I26" i="13"/>
  <c r="H12" i="13"/>
  <c r="E13" i="13"/>
  <c r="C14" i="13"/>
  <c r="H14" i="13"/>
  <c r="E15" i="13"/>
  <c r="C19" i="13"/>
  <c r="H19" i="13"/>
  <c r="E20" i="13"/>
  <c r="C21" i="13"/>
  <c r="H21" i="13"/>
  <c r="E22" i="13"/>
  <c r="C23" i="13"/>
  <c r="H23" i="13"/>
  <c r="E24" i="13"/>
  <c r="BY28" i="17"/>
  <c r="F49" i="12"/>
  <c r="E48" i="12"/>
  <c r="D47" i="12"/>
  <c r="F45" i="12"/>
  <c r="E44" i="12"/>
  <c r="D43" i="12"/>
  <c r="F41" i="12"/>
  <c r="E40" i="12"/>
  <c r="C31" i="12"/>
  <c r="C65" i="12" s="1"/>
  <c r="I52" i="16" s="1"/>
  <c r="C53" i="10"/>
  <c r="D25" i="10"/>
  <c r="E27" i="5"/>
  <c r="F27" i="5" s="1"/>
  <c r="E60" i="12"/>
  <c r="CB19" i="17" s="1"/>
  <c r="E59" i="12"/>
  <c r="CA19" i="17" s="1"/>
  <c r="E15" i="11"/>
  <c r="F15" i="11" s="1"/>
  <c r="J17" i="8"/>
  <c r="J19" i="8" s="1"/>
  <c r="E17" i="8"/>
  <c r="E19" i="8" s="1"/>
  <c r="C17" i="8"/>
  <c r="D34" i="10"/>
  <c r="C12" i="13"/>
  <c r="C11" i="13"/>
  <c r="J27" i="13"/>
  <c r="C9" i="13"/>
  <c r="E18" i="15"/>
  <c r="H12" i="6"/>
  <c r="O14" i="8"/>
  <c r="F21" i="11"/>
  <c r="E19" i="10"/>
  <c r="F18" i="10"/>
  <c r="D18" i="10"/>
  <c r="C7" i="13"/>
  <c r="I27" i="13"/>
  <c r="C8" i="13"/>
  <c r="H8" i="13"/>
  <c r="E9" i="13"/>
  <c r="C10" i="13"/>
  <c r="D10" i="13"/>
  <c r="I10" i="13"/>
  <c r="E11" i="13"/>
  <c r="I11" i="13"/>
  <c r="E12" i="13"/>
  <c r="F7" i="13"/>
  <c r="E53" i="12"/>
  <c r="F53" i="12" s="1"/>
  <c r="E55" i="12"/>
  <c r="BW19" i="17" s="1"/>
  <c r="E61" i="12"/>
  <c r="CC19" i="17" s="1"/>
  <c r="D27" i="5"/>
  <c r="C51" i="5"/>
  <c r="C64" i="12" s="1"/>
  <c r="H52" i="16" s="1"/>
  <c r="C39" i="10"/>
  <c r="C11" i="12"/>
  <c r="C30" i="12"/>
  <c r="C40" i="12"/>
  <c r="C41" i="12"/>
  <c r="C42" i="12"/>
  <c r="C43" i="12"/>
  <c r="C44" i="12"/>
  <c r="C45" i="12"/>
  <c r="C46" i="12"/>
  <c r="C47" i="12"/>
  <c r="C48" i="12"/>
  <c r="C49" i="12"/>
  <c r="C11" i="9"/>
  <c r="D11" i="9" s="1"/>
  <c r="E11" i="9" s="1"/>
  <c r="F11" i="9" s="1"/>
  <c r="G11" i="9" s="1"/>
  <c r="F24" i="13"/>
  <c r="J23" i="13"/>
  <c r="F23" i="13"/>
  <c r="J22" i="13"/>
  <c r="F22" i="13"/>
  <c r="J21" i="13"/>
  <c r="F21" i="13"/>
  <c r="J20" i="13"/>
  <c r="F20" i="13"/>
  <c r="J19" i="13"/>
  <c r="F19" i="13"/>
  <c r="J15" i="13"/>
  <c r="F15" i="13"/>
  <c r="J14" i="13"/>
  <c r="F14" i="13"/>
  <c r="J13" i="13"/>
  <c r="F13" i="13"/>
  <c r="J12" i="13"/>
  <c r="D27" i="13"/>
  <c r="H26" i="13"/>
  <c r="D26" i="13"/>
  <c r="H25" i="13"/>
  <c r="D25" i="13"/>
  <c r="H24" i="13"/>
  <c r="E7" i="13"/>
  <c r="D8" i="13"/>
  <c r="I8" i="13"/>
  <c r="G9" i="13"/>
  <c r="G27" i="13"/>
  <c r="E10" i="13"/>
  <c r="J10" i="13"/>
  <c r="F11" i="13"/>
  <c r="J11" i="13"/>
  <c r="F12" i="13"/>
  <c r="D21" i="15"/>
  <c r="BW24" i="17" s="1"/>
  <c r="C26" i="5"/>
  <c r="C31" i="5" s="1"/>
  <c r="C13" i="7"/>
  <c r="D38" i="10"/>
  <c r="F49" i="7"/>
  <c r="C10" i="12"/>
  <c r="C66" i="12"/>
  <c r="G17" i="8"/>
  <c r="G19" i="8" s="1"/>
  <c r="K17" i="8"/>
  <c r="K19" i="8" s="1"/>
  <c r="D15" i="11"/>
  <c r="D16" i="11" s="1"/>
  <c r="H15" i="16"/>
  <c r="D26" i="5"/>
  <c r="D31" i="5" s="1"/>
  <c r="C34" i="10"/>
  <c r="C48" i="10"/>
  <c r="G49" i="7"/>
  <c r="C21" i="12"/>
  <c r="D17" i="8"/>
  <c r="D19" i="8" s="1"/>
  <c r="O15" i="8"/>
  <c r="H10" i="6"/>
  <c r="H11" i="6"/>
  <c r="H13" i="6"/>
  <c r="F27" i="13"/>
  <c r="F10" i="13"/>
  <c r="D7" i="13"/>
  <c r="J9" i="13"/>
  <c r="F9" i="13"/>
  <c r="J8" i="13"/>
  <c r="F8" i="13"/>
  <c r="J7" i="13"/>
  <c r="C24" i="7"/>
  <c r="D27" i="11"/>
  <c r="F23" i="11"/>
  <c r="F24" i="11"/>
  <c r="C27" i="11"/>
  <c r="C41" i="11" s="1"/>
  <c r="D9" i="6"/>
  <c r="E9" i="6" s="1"/>
  <c r="F9" i="6" s="1"/>
  <c r="D8" i="6"/>
  <c r="E8" i="6" s="1"/>
  <c r="F8" i="6" s="1"/>
  <c r="G8" i="6" s="1"/>
  <c r="E22" i="6"/>
  <c r="E23" i="6"/>
  <c r="E24" i="6"/>
  <c r="E25" i="6"/>
  <c r="C26" i="3"/>
  <c r="C27" i="3"/>
  <c r="C29" i="3"/>
  <c r="C59" i="4"/>
  <c r="C13" i="5"/>
  <c r="C44" i="5"/>
  <c r="C45" i="5"/>
  <c r="C48" i="5"/>
  <c r="C26" i="6"/>
  <c r="D26" i="6"/>
  <c r="C35" i="6"/>
  <c r="C36" i="6"/>
  <c r="C37" i="6"/>
  <c r="G14" i="3"/>
  <c r="G19" i="3"/>
  <c r="G20" i="3"/>
  <c r="C24" i="3"/>
  <c r="C25" i="3"/>
  <c r="C28" i="3"/>
  <c r="C30" i="3"/>
  <c r="C31" i="3"/>
  <c r="D8" i="8"/>
  <c r="D11" i="8" s="1"/>
  <c r="F8" i="8"/>
  <c r="F11" i="8" s="1"/>
  <c r="H8" i="8"/>
  <c r="H11" i="8" s="1"/>
  <c r="I8" i="8"/>
  <c r="I11" i="8" s="1"/>
  <c r="K8" i="8"/>
  <c r="K11" i="8" s="1"/>
  <c r="M8" i="8"/>
  <c r="M11" i="8" s="1"/>
  <c r="N8" i="8"/>
  <c r="N11" i="8" s="1"/>
  <c r="C9" i="8"/>
  <c r="O9" i="8" s="1"/>
  <c r="C34" i="12"/>
  <c r="C36" i="12"/>
  <c r="C8" i="8"/>
  <c r="E8" i="8"/>
  <c r="E11" i="8" s="1"/>
  <c r="G8" i="8"/>
  <c r="G11" i="8" s="1"/>
  <c r="J8" i="8"/>
  <c r="J11" i="8" s="1"/>
  <c r="L8" i="8"/>
  <c r="L11" i="8" s="1"/>
  <c r="E7" i="16"/>
  <c r="G15" i="3"/>
  <c r="G16" i="3"/>
  <c r="G17" i="3"/>
  <c r="G18" i="3"/>
  <c r="D7" i="6"/>
  <c r="D23" i="7"/>
  <c r="E23" i="7" s="1"/>
  <c r="F23" i="7" s="1"/>
  <c r="D24" i="10"/>
  <c r="E24" i="10"/>
  <c r="F24" i="10"/>
  <c r="D22" i="7"/>
  <c r="D23" i="10"/>
  <c r="E23" i="10"/>
  <c r="F23" i="10"/>
  <c r="D21" i="7"/>
  <c r="E21" i="7" s="1"/>
  <c r="F21" i="7" s="1"/>
  <c r="G21" i="7" s="1"/>
  <c r="D22" i="10"/>
  <c r="E22" i="10"/>
  <c r="F22" i="10"/>
  <c r="D21" i="10"/>
  <c r="E21" i="10"/>
  <c r="F21" i="10"/>
  <c r="D20" i="7"/>
  <c r="E20" i="7" s="1"/>
  <c r="F20" i="7" s="1"/>
  <c r="G20" i="7" s="1"/>
  <c r="D20" i="10"/>
  <c r="E20" i="10"/>
  <c r="F20" i="10"/>
  <c r="E19" i="15"/>
  <c r="F19" i="15"/>
  <c r="E19" i="7"/>
  <c r="C40" i="10"/>
  <c r="D40" i="10"/>
  <c r="C31" i="11"/>
  <c r="D31" i="11"/>
  <c r="E31" i="11"/>
  <c r="F31" i="11" s="1"/>
  <c r="C13" i="12"/>
  <c r="H30" i="7"/>
  <c r="C33" i="7"/>
  <c r="C68" i="7" s="1"/>
  <c r="D82" i="4"/>
  <c r="C82" i="4"/>
  <c r="C7" i="14"/>
  <c r="C19" i="14" s="1"/>
  <c r="J18" i="14"/>
  <c r="C29" i="14"/>
  <c r="D29" i="14"/>
  <c r="C8" i="15"/>
  <c r="C39" i="15"/>
  <c r="C46" i="15"/>
  <c r="C49" i="15"/>
  <c r="B35" i="16"/>
  <c r="X14" i="17"/>
  <c r="C66" i="4"/>
  <c r="C79" i="4"/>
  <c r="D79" i="4"/>
  <c r="C81" i="4"/>
  <c r="C39" i="7" s="1"/>
  <c r="C69" i="7" s="1"/>
  <c r="D81" i="4"/>
  <c r="C83" i="4"/>
  <c r="C84" i="4"/>
  <c r="C16" i="4"/>
  <c r="C12" i="12"/>
  <c r="E39" i="5"/>
  <c r="F39" i="5" s="1"/>
  <c r="E38" i="5"/>
  <c r="F38" i="5" s="1"/>
  <c r="E37" i="5"/>
  <c r="F37" i="5" s="1"/>
  <c r="E36" i="5"/>
  <c r="F36" i="5" s="1"/>
  <c r="E35" i="5"/>
  <c r="F35" i="5" s="1"/>
  <c r="F25" i="5"/>
  <c r="O16" i="8"/>
  <c r="E21" i="6"/>
  <c r="E20" i="6"/>
  <c r="F22" i="11"/>
  <c r="E27" i="11"/>
  <c r="E10" i="15"/>
  <c r="F10" i="15"/>
  <c r="C49" i="14" l="1"/>
  <c r="CC28" i="17"/>
  <c r="CF17" i="17"/>
  <c r="C77" i="12"/>
  <c r="CF13" i="17"/>
  <c r="C73" i="12"/>
  <c r="CF16" i="17"/>
  <c r="C76" i="12"/>
  <c r="CF12" i="17"/>
  <c r="C72" i="12"/>
  <c r="CF19" i="17"/>
  <c r="C79" i="12"/>
  <c r="CF15" i="17"/>
  <c r="C75" i="12"/>
  <c r="C71" i="12"/>
  <c r="CF11" i="17"/>
  <c r="CF18" i="17"/>
  <c r="C78" i="12"/>
  <c r="CF14" i="17"/>
  <c r="C74" i="12"/>
  <c r="CF10" i="17"/>
  <c r="C70" i="12"/>
  <c r="C66" i="7"/>
  <c r="CC23" i="17"/>
  <c r="C98" i="7"/>
  <c r="CC24" i="17"/>
  <c r="C99" i="7"/>
  <c r="F13" i="7"/>
  <c r="G9" i="14" s="1"/>
  <c r="C64" i="7"/>
  <c r="E16" i="11"/>
  <c r="E17" i="11" s="1"/>
  <c r="F17" i="11" s="1"/>
  <c r="C51" i="4"/>
  <c r="C15" i="9" s="1"/>
  <c r="BX19" i="17"/>
  <c r="H25" i="16"/>
  <c r="BY19" i="17"/>
  <c r="F59" i="12"/>
  <c r="E20" i="15"/>
  <c r="BZ19" i="17"/>
  <c r="F20" i="15"/>
  <c r="E31" i="5"/>
  <c r="F31" i="5" s="1"/>
  <c r="C30" i="11"/>
  <c r="C32" i="11" s="1"/>
  <c r="F54" i="12"/>
  <c r="M22" i="8"/>
  <c r="E28" i="5"/>
  <c r="E29" i="5" s="1"/>
  <c r="O17" i="8"/>
  <c r="F22" i="8"/>
  <c r="F60" i="12"/>
  <c r="BU19" i="17"/>
  <c r="C26" i="15"/>
  <c r="E26" i="15" s="1"/>
  <c r="C29" i="8"/>
  <c r="E30" i="11"/>
  <c r="E32" i="11" s="1"/>
  <c r="E13" i="7"/>
  <c r="G22" i="8"/>
  <c r="F27" i="11"/>
  <c r="H15" i="11"/>
  <c r="D28" i="5"/>
  <c r="D29" i="5" s="1"/>
  <c r="D30" i="5" s="1"/>
  <c r="D9" i="14"/>
  <c r="D13" i="7"/>
  <c r="H16" i="11"/>
  <c r="G13" i="7"/>
  <c r="J22" i="8"/>
  <c r="K22" i="8"/>
  <c r="C28" i="5"/>
  <c r="C29" i="5" s="1"/>
  <c r="C30" i="5" s="1"/>
  <c r="F61" i="12"/>
  <c r="F55" i="12"/>
  <c r="G15" i="11"/>
  <c r="L22" i="8"/>
  <c r="N22" i="8"/>
  <c r="H8" i="6"/>
  <c r="E22" i="8"/>
  <c r="C32" i="3"/>
  <c r="BU7" i="17"/>
  <c r="C28" i="15"/>
  <c r="E28" i="15" s="1"/>
  <c r="I22" i="8"/>
  <c r="D10" i="14"/>
  <c r="H20" i="7"/>
  <c r="H21" i="7"/>
  <c r="H22" i="8"/>
  <c r="D22" i="8"/>
  <c r="G9" i="6"/>
  <c r="H9" i="6" s="1"/>
  <c r="G23" i="7"/>
  <c r="H23" i="7" s="1"/>
  <c r="O8" i="8"/>
  <c r="C11" i="8"/>
  <c r="E7" i="6"/>
  <c r="D14" i="6"/>
  <c r="E49" i="7"/>
  <c r="D43" i="15"/>
  <c r="C30" i="6"/>
  <c r="C8" i="7"/>
  <c r="C31" i="13"/>
  <c r="D31" i="13"/>
  <c r="E31" i="13"/>
  <c r="F31" i="13"/>
  <c r="G31" i="13"/>
  <c r="H31" i="13"/>
  <c r="I31" i="13"/>
  <c r="J31" i="13"/>
  <c r="C32" i="13"/>
  <c r="D32" i="13"/>
  <c r="E32" i="13"/>
  <c r="F32" i="13"/>
  <c r="G32" i="13"/>
  <c r="H32" i="13"/>
  <c r="I32" i="13"/>
  <c r="J32" i="13"/>
  <c r="C33" i="13"/>
  <c r="D33" i="13"/>
  <c r="E33" i="13"/>
  <c r="F33" i="13"/>
  <c r="G33" i="13"/>
  <c r="H33" i="13"/>
  <c r="I33" i="13"/>
  <c r="J33" i="13"/>
  <c r="C34" i="13"/>
  <c r="D34" i="13"/>
  <c r="E34" i="13"/>
  <c r="F34" i="13"/>
  <c r="G34" i="13"/>
  <c r="H34" i="13"/>
  <c r="I34" i="13"/>
  <c r="J34" i="13"/>
  <c r="C35" i="13"/>
  <c r="D35" i="13"/>
  <c r="E35" i="13"/>
  <c r="F35" i="13"/>
  <c r="G35" i="13"/>
  <c r="H35" i="13"/>
  <c r="I35" i="13"/>
  <c r="J35" i="13"/>
  <c r="C36" i="13"/>
  <c r="D36" i="13"/>
  <c r="E36" i="13"/>
  <c r="F36" i="13"/>
  <c r="G36" i="13"/>
  <c r="H36" i="13"/>
  <c r="I36" i="13"/>
  <c r="J36" i="13"/>
  <c r="C37" i="13"/>
  <c r="D37" i="13"/>
  <c r="E37" i="13"/>
  <c r="F37" i="13"/>
  <c r="G37" i="13"/>
  <c r="H37" i="13"/>
  <c r="I37" i="13"/>
  <c r="J37" i="13"/>
  <c r="C38" i="13"/>
  <c r="D38" i="13"/>
  <c r="E38" i="13"/>
  <c r="F38" i="13"/>
  <c r="G38" i="13"/>
  <c r="H38" i="13"/>
  <c r="I38" i="13"/>
  <c r="J38" i="13"/>
  <c r="D24" i="15"/>
  <c r="D25" i="15"/>
  <c r="D27" i="15"/>
  <c r="D29" i="15"/>
  <c r="D31" i="15"/>
  <c r="D33" i="15"/>
  <c r="D34" i="15"/>
  <c r="D35" i="15"/>
  <c r="D36" i="15"/>
  <c r="D40" i="15"/>
  <c r="D41" i="15"/>
  <c r="D42" i="15"/>
  <c r="E11" i="16"/>
  <c r="D30" i="11"/>
  <c r="D17" i="11"/>
  <c r="G16" i="11"/>
  <c r="F19" i="7"/>
  <c r="D12" i="14"/>
  <c r="D17" i="14" s="1"/>
  <c r="C30" i="15"/>
  <c r="D30" i="15"/>
  <c r="H33" i="7"/>
  <c r="G18" i="9"/>
  <c r="F18" i="9"/>
  <c r="E18" i="9"/>
  <c r="D18" i="9"/>
  <c r="C18" i="9"/>
  <c r="C24" i="14"/>
  <c r="C40" i="14"/>
  <c r="C41" i="14"/>
  <c r="F8" i="15"/>
  <c r="E8" i="15"/>
  <c r="F39" i="15"/>
  <c r="E39" i="15"/>
  <c r="C41" i="10"/>
  <c r="D41" i="10"/>
  <c r="D42" i="10" s="1"/>
  <c r="C33" i="11"/>
  <c r="D33" i="11"/>
  <c r="E33" i="11"/>
  <c r="F33" i="11" s="1"/>
  <c r="C14" i="12"/>
  <c r="D39" i="7"/>
  <c r="E39" i="7"/>
  <c r="F39" i="7"/>
  <c r="G39" i="7"/>
  <c r="C23" i="8"/>
  <c r="I13" i="14"/>
  <c r="J13" i="14"/>
  <c r="C14" i="15"/>
  <c r="D52" i="7"/>
  <c r="D51" i="7"/>
  <c r="F50" i="7"/>
  <c r="D13" i="14"/>
  <c r="C32" i="15"/>
  <c r="C18" i="8"/>
  <c r="C13" i="15"/>
  <c r="E26" i="6"/>
  <c r="G21" i="3"/>
  <c r="C33" i="3"/>
  <c r="E22" i="7"/>
  <c r="D24" i="7"/>
  <c r="CC5" i="17" l="1"/>
  <c r="C77" i="7"/>
  <c r="CD24" i="17"/>
  <c r="D99" i="7"/>
  <c r="D66" i="7"/>
  <c r="CD23" i="17"/>
  <c r="D98" i="7"/>
  <c r="F64" i="7"/>
  <c r="F99" i="7"/>
  <c r="CF24" i="17"/>
  <c r="G99" i="7"/>
  <c r="CG24" i="17"/>
  <c r="CE24" i="17"/>
  <c r="E99" i="7"/>
  <c r="F13" i="14"/>
  <c r="E69" i="7"/>
  <c r="E13" i="14"/>
  <c r="D69" i="7"/>
  <c r="E9" i="14"/>
  <c r="D64" i="7"/>
  <c r="H13" i="14"/>
  <c r="G69" i="7"/>
  <c r="G13" i="14"/>
  <c r="F69" i="7"/>
  <c r="H9" i="14"/>
  <c r="G64" i="7"/>
  <c r="F9" i="14"/>
  <c r="E64" i="7"/>
  <c r="D50" i="7"/>
  <c r="E50" i="7" s="1"/>
  <c r="G50" i="7" s="1"/>
  <c r="F16" i="11"/>
  <c r="C53" i="4"/>
  <c r="C75" i="4" s="1"/>
  <c r="C52" i="16" s="1"/>
  <c r="F28" i="5"/>
  <c r="F28" i="15"/>
  <c r="H30" i="11"/>
  <c r="F30" i="11"/>
  <c r="F26" i="15"/>
  <c r="H13" i="7"/>
  <c r="H39" i="7"/>
  <c r="G17" i="11"/>
  <c r="H17" i="11"/>
  <c r="E38" i="10"/>
  <c r="C42" i="10"/>
  <c r="C47" i="10" s="1"/>
  <c r="C34" i="11"/>
  <c r="C35" i="11" s="1"/>
  <c r="C36" i="11" s="1"/>
  <c r="C37" i="11" s="1"/>
  <c r="F22" i="7"/>
  <c r="F24" i="7" s="1"/>
  <c r="E24" i="7"/>
  <c r="O11" i="8"/>
  <c r="C41" i="8" s="1"/>
  <c r="F7" i="6"/>
  <c r="E14" i="6"/>
  <c r="D15" i="6"/>
  <c r="D8" i="7"/>
  <c r="C9" i="7"/>
  <c r="C10" i="7" s="1"/>
  <c r="C55" i="7"/>
  <c r="E52" i="16" s="1"/>
  <c r="C24" i="15"/>
  <c r="E24" i="15" s="1"/>
  <c r="O10" i="17"/>
  <c r="BU5" i="17"/>
  <c r="BU24" i="17"/>
  <c r="BV24" i="17"/>
  <c r="C33" i="9"/>
  <c r="C54" i="4"/>
  <c r="I9" i="14"/>
  <c r="J9" i="14"/>
  <c r="G30" i="11"/>
  <c r="D32" i="11"/>
  <c r="H32" i="11" s="1"/>
  <c r="G19" i="7"/>
  <c r="E30" i="15"/>
  <c r="F30" i="15"/>
  <c r="C25" i="14"/>
  <c r="C43" i="14"/>
  <c r="F14" i="15"/>
  <c r="E14" i="15"/>
  <c r="E52" i="7"/>
  <c r="G52" i="7" s="1"/>
  <c r="F52" i="7"/>
  <c r="E51" i="7"/>
  <c r="G51" i="7" s="1"/>
  <c r="F51" i="7"/>
  <c r="F32" i="15"/>
  <c r="E32" i="15"/>
  <c r="C19" i="8"/>
  <c r="O18" i="8"/>
  <c r="F13" i="15"/>
  <c r="E13" i="15"/>
  <c r="F32" i="11"/>
  <c r="E34" i="11"/>
  <c r="E30" i="5"/>
  <c r="F30" i="5" s="1"/>
  <c r="F29" i="5"/>
  <c r="E10" i="14"/>
  <c r="E41" i="10"/>
  <c r="E39" i="10"/>
  <c r="E40" i="10"/>
  <c r="D29" i="8"/>
  <c r="D15" i="9"/>
  <c r="BV7" i="17"/>
  <c r="C63" i="7" l="1"/>
  <c r="C78" i="7" s="1"/>
  <c r="CC6" i="17"/>
  <c r="CD5" i="17"/>
  <c r="D77" i="7"/>
  <c r="F66" i="7"/>
  <c r="F98" i="7"/>
  <c r="CF23" i="17"/>
  <c r="E66" i="7"/>
  <c r="CE23" i="17"/>
  <c r="E98" i="7"/>
  <c r="C55" i="4"/>
  <c r="C21" i="15"/>
  <c r="E21" i="15" s="1"/>
  <c r="C46" i="5"/>
  <c r="BW23" i="17"/>
  <c r="C14" i="5"/>
  <c r="H7" i="16"/>
  <c r="C60" i="4"/>
  <c r="C62" i="4" s="1"/>
  <c r="F24" i="15"/>
  <c r="C49" i="10"/>
  <c r="C50" i="10"/>
  <c r="G22" i="7"/>
  <c r="H22" i="7" s="1"/>
  <c r="F10" i="14"/>
  <c r="E29" i="8"/>
  <c r="E15" i="9"/>
  <c r="E33" i="9" s="1"/>
  <c r="BW7" i="17"/>
  <c r="G7" i="6"/>
  <c r="F14" i="6"/>
  <c r="E15" i="6"/>
  <c r="E8" i="7"/>
  <c r="D9" i="7"/>
  <c r="D10" i="7" s="1"/>
  <c r="BV5" i="17"/>
  <c r="C40" i="11"/>
  <c r="C14" i="7"/>
  <c r="C65" i="7" s="1"/>
  <c r="C8" i="9"/>
  <c r="C28" i="8"/>
  <c r="C9" i="9"/>
  <c r="C16" i="9" s="1"/>
  <c r="C19" i="9" s="1"/>
  <c r="D8" i="14"/>
  <c r="D11" i="14" s="1"/>
  <c r="D14" i="14" s="1"/>
  <c r="C25" i="15"/>
  <c r="BU6" i="17"/>
  <c r="F21" i="15"/>
  <c r="G32" i="11"/>
  <c r="D34" i="11"/>
  <c r="H34" i="11" s="1"/>
  <c r="BX7" i="17"/>
  <c r="F29" i="8"/>
  <c r="F15" i="9"/>
  <c r="G10" i="14"/>
  <c r="H19" i="7"/>
  <c r="C42" i="14"/>
  <c r="F34" i="11"/>
  <c r="E35" i="11"/>
  <c r="E36" i="11" s="1"/>
  <c r="D33" i="9"/>
  <c r="O19" i="8"/>
  <c r="C42" i="8" s="1"/>
  <c r="C22" i="8"/>
  <c r="D63" i="7" l="1"/>
  <c r="D78" i="7" s="1"/>
  <c r="CD6" i="17"/>
  <c r="CE5" i="17"/>
  <c r="E77" i="7"/>
  <c r="C61" i="4"/>
  <c r="C65" i="4" s="1"/>
  <c r="G24" i="7"/>
  <c r="G29" i="8"/>
  <c r="H7" i="6"/>
  <c r="H14" i="6" s="1"/>
  <c r="G14" i="6"/>
  <c r="F15" i="6"/>
  <c r="F8" i="7"/>
  <c r="E9" i="7"/>
  <c r="E10" i="7" s="1"/>
  <c r="BW5" i="17"/>
  <c r="D14" i="7"/>
  <c r="D65" i="7" s="1"/>
  <c r="D9" i="9"/>
  <c r="D16" i="9" s="1"/>
  <c r="D19" i="9" s="1"/>
  <c r="D28" i="8"/>
  <c r="D30" i="8" s="1"/>
  <c r="BW14" i="17" s="1"/>
  <c r="D8" i="9"/>
  <c r="E8" i="14"/>
  <c r="E11" i="14" s="1"/>
  <c r="E14" i="14" s="1"/>
  <c r="BV6" i="17"/>
  <c r="C15" i="7"/>
  <c r="C26" i="7"/>
  <c r="C27" i="15"/>
  <c r="C32" i="9"/>
  <c r="C30" i="8"/>
  <c r="D15" i="14"/>
  <c r="D16" i="14" s="1"/>
  <c r="F25" i="15"/>
  <c r="E25" i="15"/>
  <c r="G34" i="11"/>
  <c r="D35" i="11"/>
  <c r="G35" i="11" s="1"/>
  <c r="F33" i="9"/>
  <c r="J10" i="14"/>
  <c r="I10" i="14"/>
  <c r="F35" i="11"/>
  <c r="F36" i="11"/>
  <c r="E37" i="11"/>
  <c r="C40" i="8"/>
  <c r="E43" i="16" s="1"/>
  <c r="O22" i="8"/>
  <c r="C24" i="8"/>
  <c r="C67" i="7" l="1"/>
  <c r="D42" i="13"/>
  <c r="H42" i="13"/>
  <c r="E42" i="13"/>
  <c r="I42" i="13"/>
  <c r="F42" i="13"/>
  <c r="J42" i="13"/>
  <c r="C42" i="13"/>
  <c r="G42" i="13"/>
  <c r="F77" i="7"/>
  <c r="CF5" i="17"/>
  <c r="E63" i="7"/>
  <c r="E78" i="7" s="1"/>
  <c r="CE6" i="17"/>
  <c r="CG23" i="17"/>
  <c r="G98" i="7"/>
  <c r="H24" i="7"/>
  <c r="G66" i="7"/>
  <c r="C64" i="4"/>
  <c r="G15" i="9"/>
  <c r="BY7" i="17"/>
  <c r="H10" i="14"/>
  <c r="H35" i="11"/>
  <c r="D36" i="11"/>
  <c r="H36" i="11" s="1"/>
  <c r="C32" i="6"/>
  <c r="C34" i="6"/>
  <c r="E15" i="16"/>
  <c r="G15" i="6"/>
  <c r="C31" i="6"/>
  <c r="C33" i="6"/>
  <c r="G8" i="7"/>
  <c r="F9" i="7"/>
  <c r="F10" i="7" s="1"/>
  <c r="BX5" i="17"/>
  <c r="E14" i="7"/>
  <c r="E65" i="7" s="1"/>
  <c r="E8" i="9"/>
  <c r="E28" i="8"/>
  <c r="E9" i="9"/>
  <c r="E16" i="9" s="1"/>
  <c r="E19" i="9" s="1"/>
  <c r="F8" i="14"/>
  <c r="F11" i="14" s="1"/>
  <c r="F14" i="14" s="1"/>
  <c r="BW6" i="17"/>
  <c r="D15" i="7"/>
  <c r="D26" i="7"/>
  <c r="D67" i="7" s="1"/>
  <c r="D32" i="9"/>
  <c r="E15" i="14"/>
  <c r="E16" i="14" s="1"/>
  <c r="E21" i="16"/>
  <c r="X10" i="17"/>
  <c r="C27" i="7"/>
  <c r="C43" i="13"/>
  <c r="D43" i="13"/>
  <c r="E43" i="13"/>
  <c r="F43" i="13"/>
  <c r="C35" i="7"/>
  <c r="C56" i="7"/>
  <c r="F52" i="16" s="1"/>
  <c r="G43" i="13"/>
  <c r="H43" i="13"/>
  <c r="I43" i="13"/>
  <c r="J43" i="13"/>
  <c r="C44" i="13"/>
  <c r="D44" i="13"/>
  <c r="E44" i="13"/>
  <c r="F44" i="13"/>
  <c r="G44" i="13"/>
  <c r="H44" i="13"/>
  <c r="I44" i="13"/>
  <c r="J44" i="13"/>
  <c r="C45" i="13"/>
  <c r="D45" i="13"/>
  <c r="E45" i="13"/>
  <c r="F45" i="13"/>
  <c r="G45" i="13"/>
  <c r="H45" i="13"/>
  <c r="I45" i="13"/>
  <c r="J45" i="13"/>
  <c r="C46" i="13"/>
  <c r="D46" i="13"/>
  <c r="E46" i="13"/>
  <c r="F46" i="13"/>
  <c r="G46" i="13"/>
  <c r="H46" i="13"/>
  <c r="I46" i="13"/>
  <c r="J46" i="13"/>
  <c r="C47" i="13"/>
  <c r="D47" i="13"/>
  <c r="E47" i="13"/>
  <c r="F47" i="13"/>
  <c r="G47" i="13"/>
  <c r="H47" i="13"/>
  <c r="I47" i="13"/>
  <c r="J47" i="13"/>
  <c r="C48" i="13"/>
  <c r="D48" i="13"/>
  <c r="E48" i="13"/>
  <c r="F48" i="13"/>
  <c r="G48" i="13"/>
  <c r="H48" i="13"/>
  <c r="I48" i="13"/>
  <c r="J48" i="13"/>
  <c r="C49" i="13"/>
  <c r="D49" i="13"/>
  <c r="E49" i="13"/>
  <c r="F49" i="13"/>
  <c r="G49" i="13"/>
  <c r="H49" i="13"/>
  <c r="I49" i="13"/>
  <c r="J49" i="13"/>
  <c r="C29" i="15"/>
  <c r="C41" i="15"/>
  <c r="C42" i="15"/>
  <c r="C48" i="15"/>
  <c r="C50" i="15"/>
  <c r="B48" i="16" s="1"/>
  <c r="B21" i="16"/>
  <c r="E29" i="16"/>
  <c r="R10" i="17"/>
  <c r="BU8" i="17"/>
  <c r="BU23" i="17"/>
  <c r="F27" i="15"/>
  <c r="E27" i="15"/>
  <c r="BV14" i="17"/>
  <c r="D19" i="14"/>
  <c r="C67" i="4"/>
  <c r="G33" i="9"/>
  <c r="F37" i="11"/>
  <c r="BU14" i="17"/>
  <c r="BU15" i="17" s="1"/>
  <c r="C43" i="8"/>
  <c r="D23" i="8"/>
  <c r="D24" i="8" s="1"/>
  <c r="E23" i="8" s="1"/>
  <c r="E24" i="8" s="1"/>
  <c r="F23" i="8" s="1"/>
  <c r="F24" i="8" s="1"/>
  <c r="G23" i="8" s="1"/>
  <c r="G24" i="8" s="1"/>
  <c r="H23" i="8" s="1"/>
  <c r="H24" i="8" s="1"/>
  <c r="I23" i="8" s="1"/>
  <c r="I24" i="8" s="1"/>
  <c r="D49" i="14" l="1"/>
  <c r="CD28" i="17"/>
  <c r="F63" i="7"/>
  <c r="F78" i="7" s="1"/>
  <c r="CF6" i="17"/>
  <c r="CG5" i="17"/>
  <c r="G77" i="7"/>
  <c r="G36" i="11"/>
  <c r="D37" i="11"/>
  <c r="J23" i="8"/>
  <c r="J24" i="8" s="1"/>
  <c r="BV15" i="17"/>
  <c r="BW15" i="17" s="1"/>
  <c r="H8" i="7"/>
  <c r="G9" i="7"/>
  <c r="H9" i="7" s="1"/>
  <c r="BY5" i="17"/>
  <c r="F14" i="7"/>
  <c r="F65" i="7" s="1"/>
  <c r="F28" i="8"/>
  <c r="F8" i="9"/>
  <c r="F9" i="9"/>
  <c r="F16" i="9" s="1"/>
  <c r="F19" i="9" s="1"/>
  <c r="G8" i="14"/>
  <c r="BX6" i="17"/>
  <c r="E15" i="7"/>
  <c r="E26" i="7"/>
  <c r="E67" i="7" s="1"/>
  <c r="E32" i="9"/>
  <c r="E30" i="8"/>
  <c r="F15" i="14"/>
  <c r="F16" i="14" s="1"/>
  <c r="D27" i="7"/>
  <c r="D35" i="7"/>
  <c r="BV8" i="17"/>
  <c r="C31" i="15"/>
  <c r="C36" i="7"/>
  <c r="C41" i="7"/>
  <c r="C70" i="7" s="1"/>
  <c r="F29" i="15"/>
  <c r="E29" i="15"/>
  <c r="F41" i="15"/>
  <c r="E41" i="15"/>
  <c r="F42" i="15"/>
  <c r="E42" i="15"/>
  <c r="D41" i="14"/>
  <c r="D40" i="14"/>
  <c r="D24" i="14"/>
  <c r="D25" i="14" s="1"/>
  <c r="C68" i="4"/>
  <c r="E19" i="14"/>
  <c r="E49" i="14" l="1"/>
  <c r="CE28" i="17"/>
  <c r="G37" i="11"/>
  <c r="H37" i="11"/>
  <c r="C69" i="4"/>
  <c r="C70" i="4" s="1"/>
  <c r="G10" i="7"/>
  <c r="CG6" i="17" s="1"/>
  <c r="K23" i="8"/>
  <c r="K24" i="8" s="1"/>
  <c r="L23" i="8" s="1"/>
  <c r="L24" i="8" s="1"/>
  <c r="M23" i="8" s="1"/>
  <c r="M24" i="8" s="1"/>
  <c r="N23" i="8" s="1"/>
  <c r="N24" i="8" s="1"/>
  <c r="F30" i="8"/>
  <c r="G28" i="8"/>
  <c r="F15" i="7"/>
  <c r="F26" i="7"/>
  <c r="F67" i="7" s="1"/>
  <c r="F32" i="9"/>
  <c r="I8" i="14"/>
  <c r="I11" i="14" s="1"/>
  <c r="I14" i="14" s="1"/>
  <c r="J8" i="14"/>
  <c r="J11" i="14" s="1"/>
  <c r="J14" i="14" s="1"/>
  <c r="G11" i="14"/>
  <c r="G14" i="14" s="1"/>
  <c r="E27" i="7"/>
  <c r="E35" i="7"/>
  <c r="BW8" i="17"/>
  <c r="BX14" i="17"/>
  <c r="BX15" i="17" s="1"/>
  <c r="D36" i="7"/>
  <c r="D41" i="7"/>
  <c r="D70" i="7" s="1"/>
  <c r="F31" i="15"/>
  <c r="E31" i="15"/>
  <c r="C42" i="7"/>
  <c r="C33" i="15"/>
  <c r="BU9" i="17"/>
  <c r="D43" i="14"/>
  <c r="E41" i="14"/>
  <c r="D42" i="14"/>
  <c r="E24" i="14"/>
  <c r="E25" i="14" s="1"/>
  <c r="E40" i="14"/>
  <c r="F19" i="14"/>
  <c r="F49" i="14" l="1"/>
  <c r="CF28" i="17"/>
  <c r="C43" i="7"/>
  <c r="C72" i="7" s="1"/>
  <c r="C71" i="7"/>
  <c r="H10" i="7"/>
  <c r="D36" i="14" s="1"/>
  <c r="G63" i="7"/>
  <c r="G78" i="7" s="1"/>
  <c r="C39" i="8"/>
  <c r="C71" i="4"/>
  <c r="C72" i="4" s="1"/>
  <c r="BY6" i="17"/>
  <c r="G9" i="9"/>
  <c r="G16" i="9" s="1"/>
  <c r="G19" i="9" s="1"/>
  <c r="G14" i="7"/>
  <c r="G8" i="9"/>
  <c r="G32" i="9" s="1"/>
  <c r="H8" i="14"/>
  <c r="H11" i="14" s="1"/>
  <c r="H14" i="14" s="1"/>
  <c r="H15" i="14" s="1"/>
  <c r="H16" i="14" s="1"/>
  <c r="H19" i="14" s="1"/>
  <c r="C38" i="8"/>
  <c r="E35" i="16"/>
  <c r="C10" i="9"/>
  <c r="C31" i="8"/>
  <c r="C32" i="8" s="1"/>
  <c r="O24" i="8"/>
  <c r="C37" i="8"/>
  <c r="BY14" i="17"/>
  <c r="BY15" i="17" s="1"/>
  <c r="G30" i="8"/>
  <c r="F27" i="7"/>
  <c r="F35" i="7"/>
  <c r="BX8" i="17"/>
  <c r="I15" i="14"/>
  <c r="I16" i="14" s="1"/>
  <c r="I19" i="14" s="1"/>
  <c r="J15" i="14"/>
  <c r="J16" i="14" s="1"/>
  <c r="G15" i="14"/>
  <c r="G16" i="14" s="1"/>
  <c r="G19" i="14" s="1"/>
  <c r="E36" i="7"/>
  <c r="E41" i="7"/>
  <c r="E70" i="7" s="1"/>
  <c r="D42" i="7"/>
  <c r="BV9" i="17"/>
  <c r="C34" i="15"/>
  <c r="F33" i="15"/>
  <c r="E33" i="15"/>
  <c r="F41" i="14"/>
  <c r="E43" i="14"/>
  <c r="E42" i="14"/>
  <c r="F24" i="14"/>
  <c r="F25" i="14" s="1"/>
  <c r="F40" i="14"/>
  <c r="G49" i="14" l="1"/>
  <c r="CG28" i="17"/>
  <c r="BV23" i="17"/>
  <c r="C57" i="7"/>
  <c r="G52" i="16" s="1"/>
  <c r="H49" i="14"/>
  <c r="CH28" i="17"/>
  <c r="B25" i="16"/>
  <c r="C43" i="15"/>
  <c r="E43" i="15" s="1"/>
  <c r="BU10" i="17"/>
  <c r="C45" i="7"/>
  <c r="C36" i="14"/>
  <c r="U10" i="17"/>
  <c r="C36" i="15"/>
  <c r="F36" i="15" s="1"/>
  <c r="C44" i="7"/>
  <c r="E25" i="16"/>
  <c r="C35" i="15"/>
  <c r="F35" i="15" s="1"/>
  <c r="H14" i="7"/>
  <c r="G65" i="7"/>
  <c r="D43" i="7"/>
  <c r="D72" i="7" s="1"/>
  <c r="D71" i="7"/>
  <c r="G26" i="7"/>
  <c r="G15" i="7"/>
  <c r="C25" i="9"/>
  <c r="H43" i="16" s="1"/>
  <c r="C12" i="9"/>
  <c r="D31" i="8"/>
  <c r="D32" i="8" s="1"/>
  <c r="D10" i="9"/>
  <c r="H40" i="14"/>
  <c r="H24" i="14"/>
  <c r="F36" i="7"/>
  <c r="F41" i="7"/>
  <c r="F70" i="7" s="1"/>
  <c r="I40" i="14"/>
  <c r="I24" i="14"/>
  <c r="C34" i="14"/>
  <c r="D34" i="14"/>
  <c r="J19" i="14"/>
  <c r="D31" i="14" s="1"/>
  <c r="G40" i="14"/>
  <c r="G24" i="14"/>
  <c r="G25" i="14" s="1"/>
  <c r="E42" i="7"/>
  <c r="BW9" i="17"/>
  <c r="F34" i="15"/>
  <c r="E34" i="15"/>
  <c r="G41" i="14"/>
  <c r="F43" i="14"/>
  <c r="F42" i="14"/>
  <c r="F43" i="15" l="1"/>
  <c r="E35" i="15"/>
  <c r="D45" i="7"/>
  <c r="E36" i="15"/>
  <c r="BV10" i="17"/>
  <c r="D44" i="7"/>
  <c r="E43" i="7"/>
  <c r="E72" i="7" s="1"/>
  <c r="E71" i="7"/>
  <c r="BY8" i="17"/>
  <c r="G67" i="7"/>
  <c r="G27" i="7"/>
  <c r="H26" i="7"/>
  <c r="G35" i="7"/>
  <c r="H35" i="7" s="1"/>
  <c r="D30" i="14"/>
  <c r="C33" i="14"/>
  <c r="C30" i="14"/>
  <c r="C31" i="14"/>
  <c r="B43" i="16" s="1"/>
  <c r="C22" i="9"/>
  <c r="C23" i="9"/>
  <c r="H39" i="16" s="1"/>
  <c r="C24" i="9"/>
  <c r="E31" i="8"/>
  <c r="E32" i="8" s="1"/>
  <c r="E39" i="16"/>
  <c r="E10" i="9"/>
  <c r="D25" i="9"/>
  <c r="D12" i="9"/>
  <c r="F42" i="7"/>
  <c r="BX9" i="17"/>
  <c r="D33" i="14"/>
  <c r="J40" i="14"/>
  <c r="J24" i="14"/>
  <c r="E45" i="7"/>
  <c r="H41" i="14"/>
  <c r="G43" i="14"/>
  <c r="H25" i="14"/>
  <c r="G42" i="14"/>
  <c r="BW10" i="17" l="1"/>
  <c r="E44" i="7"/>
  <c r="F43" i="7"/>
  <c r="F72" i="7" s="1"/>
  <c r="F71" i="7"/>
  <c r="G36" i="7"/>
  <c r="G41" i="7"/>
  <c r="B39" i="16"/>
  <c r="C40" i="15"/>
  <c r="E40" i="15" s="1"/>
  <c r="O14" i="17"/>
  <c r="R14" i="17"/>
  <c r="C26" i="9"/>
  <c r="H35" i="16"/>
  <c r="F31" i="8"/>
  <c r="F32" i="8" s="1"/>
  <c r="G32" i="8" s="1"/>
  <c r="F10" i="9"/>
  <c r="E25" i="9"/>
  <c r="E12" i="9"/>
  <c r="D22" i="9"/>
  <c r="D26" i="9" s="1"/>
  <c r="D23" i="9"/>
  <c r="D24" i="9"/>
  <c r="I41" i="14"/>
  <c r="H43" i="14"/>
  <c r="I25" i="14"/>
  <c r="H42" i="14"/>
  <c r="F45" i="7" l="1"/>
  <c r="BX10" i="17"/>
  <c r="F44" i="7"/>
  <c r="G42" i="7"/>
  <c r="G71" i="7" s="1"/>
  <c r="G70" i="7"/>
  <c r="H41" i="7"/>
  <c r="BY9" i="17"/>
  <c r="F40" i="15"/>
  <c r="G10" i="9"/>
  <c r="C44" i="8"/>
  <c r="F25" i="9"/>
  <c r="F12" i="9"/>
  <c r="E22" i="9"/>
  <c r="E26" i="9" s="1"/>
  <c r="E23" i="9"/>
  <c r="E24" i="9"/>
  <c r="J41" i="14"/>
  <c r="J43" i="14" s="1"/>
  <c r="I43" i="14"/>
  <c r="J25" i="14"/>
  <c r="J42" i="14" s="1"/>
  <c r="I42" i="14"/>
  <c r="H42" i="7" l="1"/>
  <c r="G43" i="7"/>
  <c r="G72" i="7" s="1"/>
  <c r="G25" i="9"/>
  <c r="G12" i="9"/>
  <c r="F22" i="9"/>
  <c r="F26" i="9" s="1"/>
  <c r="F23" i="9"/>
  <c r="F24" i="9"/>
  <c r="G45" i="7" l="1"/>
  <c r="B29" i="16" s="1"/>
  <c r="H45" i="7"/>
  <c r="G44" i="7"/>
  <c r="BY10" i="17"/>
  <c r="H43" i="7"/>
  <c r="G22" i="9"/>
  <c r="G26" i="9" s="1"/>
  <c r="G23" i="9"/>
  <c r="G24" i="9"/>
  <c r="D35" i="14"/>
  <c r="C35" i="14"/>
</calcChain>
</file>

<file path=xl/sharedStrings.xml><?xml version="1.0" encoding="utf-8"?>
<sst xmlns="http://schemas.openxmlformats.org/spreadsheetml/2006/main" count="1394" uniqueCount="1016">
  <si>
    <t>CONTROL PANEL  |  Input Sheet  |  All model outputs update automatically</t>
  </si>
  <si>
    <t xml:space="preserve">  SCENARIO SELECTION</t>
  </si>
  <si>
    <t>Property Scenario</t>
  </si>
  <si>
    <t>Owned</t>
  </si>
  <si>
    <t xml:space="preserve">  SPACE PARAMETERS</t>
  </si>
  <si>
    <t>Parameter</t>
  </si>
  <si>
    <t>Value</t>
  </si>
  <si>
    <t>Unit</t>
  </si>
  <si>
    <t>Notes</t>
  </si>
  <si>
    <t>Total Seats</t>
  </si>
  <si>
    <t>seats</t>
  </si>
  <si>
    <t>Fixed at 100</t>
  </si>
  <si>
    <t>Area per Seat</t>
  </si>
  <si>
    <t>sq ft</t>
  </si>
  <si>
    <t>Industry standard</t>
  </si>
  <si>
    <t>Total Area</t>
  </si>
  <si>
    <t>Auto-calculated</t>
  </si>
  <si>
    <t>Occupancy Rate</t>
  </si>
  <si>
    <t>%</t>
  </si>
  <si>
    <t>Select: 0.4 / 0.6 / 0.8  (= 40% / 60% / 80%)</t>
  </si>
  <si>
    <t>Price per Seat (Hot Desk)</t>
  </si>
  <si>
    <t>₹/month</t>
  </si>
  <si>
    <t>Panjim market: ₹5k–₹10k</t>
  </si>
  <si>
    <t xml:space="preserve">  FINANCIAL &amp; MACRO PARAMETERS</t>
  </si>
  <si>
    <t>Revenue Inflation Rate</t>
  </si>
  <si>
    <t>YoY price increase</t>
  </si>
  <si>
    <t>Cost Escalation Rate</t>
  </si>
  <si>
    <t>YoY cost increase</t>
  </si>
  <si>
    <t>WACC (Discount Rate)</t>
  </si>
  <si>
    <t>Weighted Avg Cost of Capital</t>
  </si>
  <si>
    <t>Corporate Tax Rate</t>
  </si>
  <si>
    <t>India standard rate</t>
  </si>
  <si>
    <t>Loan Interest Rate</t>
  </si>
  <si>
    <t>Term loan rate (if financed)</t>
  </si>
  <si>
    <t>Loan Tenure</t>
  </si>
  <si>
    <t>years</t>
  </si>
  <si>
    <t>Standard commercial loan</t>
  </si>
  <si>
    <t>Depreciation Rate</t>
  </si>
  <si>
    <t>WDV method for furniture/fit-out</t>
  </si>
  <si>
    <t>Advance Payment Period</t>
  </si>
  <si>
    <t>months</t>
  </si>
  <si>
    <t>Months of advance subscription collected upfront</t>
  </si>
  <si>
    <t xml:space="preserve">  MARKET BENCHMARKS (PANJIM, GOA)</t>
  </si>
  <si>
    <t>Category</t>
  </si>
  <si>
    <t>Low</t>
  </si>
  <si>
    <t>High</t>
  </si>
  <si>
    <t>Source</t>
  </si>
  <si>
    <t>Hot Desk Price</t>
  </si>
  <si>
    <t>Qdesq / GoFloaters</t>
  </si>
  <si>
    <t>Premium Desk Price</t>
  </si>
  <si>
    <t>Qdesq</t>
  </si>
  <si>
    <t>Daily Desk Rate</t>
  </si>
  <si>
    <t>GoFloaters</t>
  </si>
  <si>
    <t>Office Rent per sq ft</t>
  </si>
  <si>
    <t>MagicBricks</t>
  </si>
  <si>
    <t>Fit-out Cost per sq ft</t>
  </si>
  <si>
    <t>Industry benchmark</t>
  </si>
  <si>
    <t>Furniture per Seat</t>
  </si>
  <si>
    <t>ASSUMPTIONS SHEET — OWNED vs. RENT SCENARIO COMPARISON</t>
  </si>
  <si>
    <t>Selected Value column is driven by Input!C6 scenario. All other sheets reference Column E only.</t>
  </si>
  <si>
    <t xml:space="preserve">  ASSUMPTIONS TABLE</t>
  </si>
  <si>
    <t>Variable / Parameter</t>
  </si>
  <si>
    <t>OWNED Scenario</t>
  </si>
  <si>
    <t>RENT Scenario</t>
  </si>
  <si>
    <t>SELECTED VALUE</t>
  </si>
  <si>
    <t xml:space="preserve">  A. PROPERTY &amp; SPACE COSTS</t>
  </si>
  <si>
    <t>Rent per sq ft (₹/month)</t>
  </si>
  <si>
    <t>0 for owned; avg Panjim rate</t>
  </si>
  <si>
    <t>Property Purchase Cost (₹/sq ft)</t>
  </si>
  <si>
    <t>Market value Panjim CRE</t>
  </si>
  <si>
    <t>Security Deposit (months of rent)</t>
  </si>
  <si>
    <t>Typically 6 months in Goa</t>
  </si>
  <si>
    <t>CAPEX — Interiors (₹/sq ft)</t>
  </si>
  <si>
    <t>₹1500–₹2000 range; mid-point</t>
  </si>
  <si>
    <t>CAPEX — Furniture per seat (₹)</t>
  </si>
  <si>
    <t>₹20k–₹30k; mid-point</t>
  </si>
  <si>
    <t>CAPEX — IT &amp; Networking (₹ lakh)</t>
  </si>
  <si>
    <t>Servers, switches, WiFi6</t>
  </si>
  <si>
    <t>CAPEX — Electrical &amp; AC (₹ lakh)</t>
  </si>
  <si>
    <t>VRF + DB panels</t>
  </si>
  <si>
    <t>CAPEX — Branding &amp; Signage (₹ lakh)</t>
  </si>
  <si>
    <t>Interior + exterior brand</t>
  </si>
  <si>
    <t>CAPEX — Misc / Contingency (₹ lakh)</t>
  </si>
  <si>
    <t>5–10% buffer</t>
  </si>
  <si>
    <t xml:space="preserve">  B. DEPRECIATION &amp; FINANCING</t>
  </si>
  <si>
    <t>Depreciation Rate — Fit-out (%)</t>
  </si>
  <si>
    <t>SLM over 10 years</t>
  </si>
  <si>
    <t>Depreciation Rate — Furniture (%)</t>
  </si>
  <si>
    <t>WDV method</t>
  </si>
  <si>
    <t>Depreciation Rate — IT (%)</t>
  </si>
  <si>
    <t>3-year life</t>
  </si>
  <si>
    <t>Loan-to-Cost Ratio (%)</t>
  </si>
  <si>
    <t>60% debt financing assumed</t>
  </si>
  <si>
    <t>Links to Input!C19 — applied to all OpEx year-on-year</t>
  </si>
  <si>
    <t xml:space="preserve">  C. STAFFING (MONTHLY SALARIES)</t>
  </si>
  <si>
    <t>Centre Manager (1)</t>
  </si>
  <si>
    <t>Panjim market</t>
  </si>
  <si>
    <t>Front Desk / Community (2)</t>
  </si>
  <si>
    <t>Per person</t>
  </si>
  <si>
    <t>IT Support (1 part-time)</t>
  </si>
  <si>
    <t>Part-time</t>
  </si>
  <si>
    <t>Housekeeping &amp; Security (3)</t>
  </si>
  <si>
    <t>Marketing / Social (1)</t>
  </si>
  <si>
    <t>In-house</t>
  </si>
  <si>
    <t>Accounts / Admin (1)</t>
  </si>
  <si>
    <t xml:space="preserve">  D. UTILITIES &amp; FIXED MONTHLY COSTS</t>
  </si>
  <si>
    <t>Internet (leased line, Gbps)</t>
  </si>
  <si>
    <t>1 Gbps leased line Goa</t>
  </si>
  <si>
    <t>Electricity — Base (₹/month)</t>
  </si>
  <si>
    <t>AC + common area</t>
  </si>
  <si>
    <t>Maintenance &amp; Repairs</t>
  </si>
  <si>
    <t>Monthly upkeep</t>
  </si>
  <si>
    <t>Marketing &amp; Digital Ads</t>
  </si>
  <si>
    <t>Google + Instagram</t>
  </si>
  <si>
    <t>Admin &amp; Office Expenses</t>
  </si>
  <si>
    <t>Consumables, printing</t>
  </si>
  <si>
    <t>Insurance (monthly equiv.)</t>
  </si>
  <si>
    <t>CRE + asset insurance</t>
  </si>
  <si>
    <t>Telephone / Misc Utilities</t>
  </si>
  <si>
    <t>Misc utilities</t>
  </si>
  <si>
    <t xml:space="preserve">  E. VARIABLE COSTS (PER OCCUPIED SEAT / MONTH)</t>
  </si>
  <si>
    <t>Electricity per user (₹/seat)</t>
  </si>
  <si>
    <t>Usage-based allocation</t>
  </si>
  <si>
    <t>Pantry / Beverages (₹/seat)</t>
  </si>
  <si>
    <t>Tea, coffee, snacks</t>
  </si>
  <si>
    <t>Cleaning per seat (₹/seat)</t>
  </si>
  <si>
    <t>Incremental cleaning</t>
  </si>
  <si>
    <t>Internet usage (₹/seat)</t>
  </si>
  <si>
    <t>Incremental bandwidth</t>
  </si>
  <si>
    <t>Stationery &amp; consumables</t>
  </si>
  <si>
    <t>Per active user</t>
  </si>
  <si>
    <t>BUSINESS MODEL &amp; REVENUE STREAMS — MONTHLY PROJECTION</t>
  </si>
  <si>
    <t>All values linked to Input Sheet. Change Occupancy or Price in Input to update all revenue figures.</t>
  </si>
  <si>
    <t xml:space="preserve">  CAPACITY &amp; OCCUPANCY SUMMARY</t>
  </si>
  <si>
    <t>Total Installed Seats</t>
  </si>
  <si>
    <t>Total Leasable Area</t>
  </si>
  <si>
    <t>Occupied Seats (monthly)</t>
  </si>
  <si>
    <t xml:space="preserve">  MONTHLY REVENUE STREAMS</t>
  </si>
  <si>
    <t>Revenue Stream</t>
  </si>
  <si>
    <t>Units / Qty</t>
  </si>
  <si>
    <t>Price (₹)</t>
  </si>
  <si>
    <t>Occupancy Adj.</t>
  </si>
  <si>
    <t>Monthly Revenue (₹)</t>
  </si>
  <si>
    <t>% of Total</t>
  </si>
  <si>
    <t>Hot Desks</t>
  </si>
  <si>
    <t>45% of occupied seats on hot-desk plan</t>
  </si>
  <si>
    <t>Dedicated Desks</t>
  </si>
  <si>
    <t>30% seats; 15% premium over hot-desk</t>
  </si>
  <si>
    <t>Private Cabins (5 cabins × 4 seats)</t>
  </si>
  <si>
    <t>Private cabin premium 40%</t>
  </si>
  <si>
    <t>Meeting Rooms (3 rooms)</t>
  </si>
  <si>
    <t>3 rooms × 20 bookings/month — update units/price in this row directly</t>
  </si>
  <si>
    <t>Virtual Office Memberships</t>
  </si>
  <si>
    <t>30 virtual members @ ₹2k/month</t>
  </si>
  <si>
    <t>Events &amp; Workshops</t>
  </si>
  <si>
    <t>4 events/month avg</t>
  </si>
  <si>
    <t>Workation Packages (weekly)</t>
  </si>
  <si>
    <t>8 workation bookings/month</t>
  </si>
  <si>
    <t>TOTAL MONTHLY REVENUE</t>
  </si>
  <si>
    <t xml:space="preserve">  ANNUAL REVENUE INDICATORS</t>
  </si>
  <si>
    <t>Monthly Revenue</t>
  </si>
  <si>
    <t>Annual Revenue (Yr 1)</t>
  </si>
  <si>
    <t>Revenue per Occupied Seat</t>
  </si>
  <si>
    <t>Revenue per Total Seat</t>
  </si>
  <si>
    <t>Annual Revenue (Yr 2, +5%)</t>
  </si>
  <si>
    <t>Annual Revenue (Yr 3, +5%)</t>
  </si>
  <si>
    <t>Annual Revenue (Yr 4, +5%)</t>
  </si>
  <si>
    <t>Annual Revenue (Yr 5, +5%)</t>
  </si>
  <si>
    <t>5-Year Revenue CAGR</t>
  </si>
  <si>
    <t>5-Year Cumulative Revenue</t>
  </si>
  <si>
    <t>COST SHEET — CAPEX, FIXED &amp; VARIABLE COSTS (DYNAMIC)</t>
  </si>
  <si>
    <t>CAPEX &amp; operating costs update automatically when Scenario / Seats / Occupancy change in the Input sheet.</t>
  </si>
  <si>
    <t xml:space="preserve">  PART A — CAPITAL EXPENDITURE (CAPEX)</t>
  </si>
  <si>
    <t>CAPEX Component</t>
  </si>
  <si>
    <t>Value (₹)</t>
  </si>
  <si>
    <t>Scenario</t>
  </si>
  <si>
    <t>Interior Fit-out</t>
  </si>
  <si>
    <t>Total area × ₹1,750/sq ft</t>
  </si>
  <si>
    <t>Furniture &amp; Workstations</t>
  </si>
  <si>
    <t>Per seat × 100 seats</t>
  </si>
  <si>
    <t>IT &amp; Networking Setup</t>
  </si>
  <si>
    <t>Servers, APs, switches</t>
  </si>
  <si>
    <t>Electrical, AC &amp; MEP</t>
  </si>
  <si>
    <t>VRF AC + distribution</t>
  </si>
  <si>
    <t>Branding &amp; Signage</t>
  </si>
  <si>
    <t>Interior + exterior</t>
  </si>
  <si>
    <t>Misc / Contingency</t>
  </si>
  <si>
    <t>~5% buffer</t>
  </si>
  <si>
    <t>Security Deposit (Rent only)</t>
  </si>
  <si>
    <t>Only applicable in Rent scenario</t>
  </si>
  <si>
    <t>Property Purchase (Owned only)</t>
  </si>
  <si>
    <t>Only applicable in Owned scenario</t>
  </si>
  <si>
    <t>TOTAL CAPEX</t>
  </si>
  <si>
    <t>CAPEX per Occupied Seat</t>
  </si>
  <si>
    <t>Total CAPEX / total seats</t>
  </si>
  <si>
    <t xml:space="preserve">  PART B — FIXED MONTHLY OPERATING COSTS</t>
  </si>
  <si>
    <t>Cost Item</t>
  </si>
  <si>
    <t>Monthly Cost (₹)</t>
  </si>
  <si>
    <t>Rent / Property Cost</t>
  </si>
  <si>
    <t>Rent: area × ₹65/sqft | Owned: EMI on 60% LTV</t>
  </si>
  <si>
    <t xml:space="preserve">  Salaries — Manager (1)</t>
  </si>
  <si>
    <t>Centre manager</t>
  </si>
  <si>
    <t xml:space="preserve">  Salaries — Front Desk (2)</t>
  </si>
  <si>
    <t>2 community hosts</t>
  </si>
  <si>
    <t xml:space="preserve">  Salaries — IT Support</t>
  </si>
  <si>
    <t>Part-time IT</t>
  </si>
  <si>
    <t xml:space="preserve">  Salaries — Housekeeping &amp; Security (3)</t>
  </si>
  <si>
    <t>3 staff</t>
  </si>
  <si>
    <t xml:space="preserve">  Salaries — Marketing</t>
  </si>
  <si>
    <t xml:space="preserve">  Salaries — Admin/Accounts</t>
  </si>
  <si>
    <t>Internet (Leased Line)</t>
  </si>
  <si>
    <t>1 Gbps</t>
  </si>
  <si>
    <t>Electricity — Base Load</t>
  </si>
  <si>
    <t>Common area + AC base</t>
  </si>
  <si>
    <t>Maintenance &amp; Upkeep</t>
  </si>
  <si>
    <t>Monthly repairs</t>
  </si>
  <si>
    <t>Marketing &amp; Digital</t>
  </si>
  <si>
    <t>Ads + SEO</t>
  </si>
  <si>
    <t>Stationery, printing</t>
  </si>
  <si>
    <t>Insurance</t>
  </si>
  <si>
    <t>CRE + asset</t>
  </si>
  <si>
    <t>Misc Utilities</t>
  </si>
  <si>
    <t>Telephone, water, misc</t>
  </si>
  <si>
    <t>TOTAL FIXED MONTHLY COST</t>
  </si>
  <si>
    <t xml:space="preserve">  PART C — VARIABLE COSTS (PER OCCUPIED SEAT)</t>
  </si>
  <si>
    <t>Variable Cost Item</t>
  </si>
  <si>
    <t>₹ per seat/month</t>
  </si>
  <si>
    <t>Electricity (usage-based)</t>
  </si>
  <si>
    <t>Per active seat</t>
  </si>
  <si>
    <t>Pantry &amp; Beverages</t>
  </si>
  <si>
    <t>Incremental Cleaning</t>
  </si>
  <si>
    <t>Cleaning per user</t>
  </si>
  <si>
    <t>Internet (bandwidth alloc)</t>
  </si>
  <si>
    <t>Per user bandwidth</t>
  </si>
  <si>
    <t>Stationery &amp; Consumables</t>
  </si>
  <si>
    <t>TOTAL VARIABLE COST per Seat</t>
  </si>
  <si>
    <t xml:space="preserve">  PART D — TOTAL MONTHLY COST CALCULATION</t>
  </si>
  <si>
    <t>Cost Summary Item</t>
  </si>
  <si>
    <t>From Input sheet</t>
  </si>
  <si>
    <t>Occupancy Rate (%)</t>
  </si>
  <si>
    <t>Occupied Seats (month)</t>
  </si>
  <si>
    <t>Seats × Occupancy</t>
  </si>
  <si>
    <t>Variable Cost per Seat (₹)</t>
  </si>
  <si>
    <t>From Part C above</t>
  </si>
  <si>
    <t>Total Variable Cost</t>
  </si>
  <si>
    <t>Occupied seats × var cost</t>
  </si>
  <si>
    <t>Total Fixed Cost</t>
  </si>
  <si>
    <t>From Part B above</t>
  </si>
  <si>
    <t>TOTAL MONTHLY COST</t>
  </si>
  <si>
    <t>Fixed + Variable</t>
  </si>
  <si>
    <t>Cost per Occupied Seat</t>
  </si>
  <si>
    <t>Monthly cost per paying member</t>
  </si>
  <si>
    <t>Cost per Total Seat</t>
  </si>
  <si>
    <t>Fully loaded cost</t>
  </si>
  <si>
    <t xml:space="preserve">  PART E — MONTHLY PROFITABILITY SNAPSHOT</t>
  </si>
  <si>
    <t>KPI</t>
  </si>
  <si>
    <t>Comment</t>
  </si>
  <si>
    <t>Total Monthly Revenue</t>
  </si>
  <si>
    <t>From Revenue sheet</t>
  </si>
  <si>
    <t>Total Monthly Cost</t>
  </si>
  <si>
    <t>From Part D</t>
  </si>
  <si>
    <t>Gross Operating Profit</t>
  </si>
  <si>
    <t>Revenue – Costs</t>
  </si>
  <si>
    <t>Operating Margin (%)</t>
  </si>
  <si>
    <t>Gross margin %</t>
  </si>
  <si>
    <t>Monthly Depreciation</t>
  </si>
  <si>
    <t>Year 1 monthly dep (WDV/SLM blend on CAPEX assets)</t>
  </si>
  <si>
    <t>EBITDA</t>
  </si>
  <si>
    <t>Before dep &amp; interest (=GOP)</t>
  </si>
  <si>
    <t>EBIT (after depreciation)</t>
  </si>
  <si>
    <t>Operating profit after dep</t>
  </si>
  <si>
    <t>Interest (if financed)</t>
  </si>
  <si>
    <t>First-year interest approx</t>
  </si>
  <si>
    <t>PBT (Pre-tax Profit)</t>
  </si>
  <si>
    <t>Profit before tax</t>
  </si>
  <si>
    <t>Tax (25%)</t>
  </si>
  <si>
    <t>Corporate tax</t>
  </si>
  <si>
    <t>PAT (Net Profit)</t>
  </si>
  <si>
    <t>Profit after tax</t>
  </si>
  <si>
    <t>Net Margin (%)</t>
  </si>
  <si>
    <t>Net profit margin</t>
  </si>
  <si>
    <t>Annual PAT</t>
  </si>
  <si>
    <t>Annualised PAT</t>
  </si>
  <si>
    <t>Payback Period (years)</t>
  </si>
  <si>
    <t>CAPEX / Annual PAT</t>
  </si>
  <si>
    <t xml:space="preserve">  MODEL INTEGRITY CHECKS</t>
  </si>
  <si>
    <t>Revenue ties to Rev_Model Yr1</t>
  </si>
  <si>
    <t>Revenue!F21×12 vs Rev_Model C14</t>
  </si>
  <si>
    <t>Cost Part D = Fixed + Variable</t>
  </si>
  <si>
    <t>D53 = D34 + D51 cross-check</t>
  </si>
  <si>
    <t xml:space="preserve">  PART F — FINANCING SCHEDULE (ANNUAL, YEAR 1)</t>
  </si>
  <si>
    <t>Item</t>
  </si>
  <si>
    <t>Annual Amount (₹)</t>
  </si>
  <si>
    <t>Monthly Amount (₹)</t>
  </si>
  <si>
    <t>Total Loan Amount (60% of CAPEX)</t>
  </si>
  <si>
    <t>CAPEX × LTV ratio</t>
  </si>
  <si>
    <t>Annual Loan EMI (Principal + Interest)</t>
  </si>
  <si>
    <t>Monthly EMI × 12</t>
  </si>
  <si>
    <t>Interest Component — Year 1</t>
  </si>
  <si>
    <t>Loan × rate</t>
  </si>
  <si>
    <t>Principal Repayment — Year 1</t>
  </si>
  <si>
    <t>EMI – Interest</t>
  </si>
  <si>
    <t>Closing Loan Balance (end Yr 1)</t>
  </si>
  <si>
    <t>-</t>
  </si>
  <si>
    <t>Opening loan – principal repaid</t>
  </si>
  <si>
    <t>Equity / Owner Contribution (40%)</t>
  </si>
  <si>
    <t>CAPEX × (1 – LTV)</t>
  </si>
  <si>
    <t>OCCUPANCY &amp; CAPACITY ANALYSIS</t>
  </si>
  <si>
    <t>Scenario matrix for 40% / 60% / 80% occupancy — all values linked to Input &amp; Costs sheets</t>
  </si>
  <si>
    <t xml:space="preserve">  SECTION A — CAPACITY SUMMARY</t>
  </si>
  <si>
    <t>Input!C10</t>
  </si>
  <si>
    <t>Input!C12</t>
  </si>
  <si>
    <t>Current Occupancy Setting</t>
  </si>
  <si>
    <t>Input!C13</t>
  </si>
  <si>
    <t>Currently Occupied Seats</t>
  </si>
  <si>
    <t>Currently Unoccupied Seats</t>
  </si>
  <si>
    <t>Revenue per Occupied Seat/mo</t>
  </si>
  <si>
    <t>₹/seat</t>
  </si>
  <si>
    <t>Cost per Occupied Seat/mo</t>
  </si>
  <si>
    <t xml:space="preserve">  SECTION B — OCCUPANCY SCENARIO MATRIX</t>
  </si>
  <si>
    <t>Metric</t>
  </si>
  <si>
    <t>40% Occupancy</t>
  </si>
  <si>
    <t>60% Occupancy</t>
  </si>
  <si>
    <t>80% Occupancy</t>
  </si>
  <si>
    <t>Active Scenario</t>
  </si>
  <si>
    <t>Occupied Seats</t>
  </si>
  <si>
    <t>Unoccupied Seats</t>
  </si>
  <si>
    <t>Utilisation Rate</t>
  </si>
  <si>
    <t>Hot Desk Monthly Revenue</t>
  </si>
  <si>
    <t>Dedicated Desk Monthly Revenue</t>
  </si>
  <si>
    <t>Private Cabin Monthly Revenue</t>
  </si>
  <si>
    <t>Other Revenue (Mtg Rooms + VO + Events + Workation)</t>
  </si>
  <si>
    <t>Monthly Profit / (Loss)</t>
  </si>
  <si>
    <t>Operating Margin %</t>
  </si>
  <si>
    <t>Break-even Contribution (Revenue - Variable Cost)</t>
  </si>
  <si>
    <t xml:space="preserve">  SECTION C — 5-YEAR ANNUAL REVENUE TREND (WITH INFLATION)</t>
  </si>
  <si>
    <t>Year</t>
  </si>
  <si>
    <t>40% Occupancy (₹)</t>
  </si>
  <si>
    <t>60% Occupancy (₹)</t>
  </si>
  <si>
    <t>80% Occupancy (₹)</t>
  </si>
  <si>
    <t>Active Scenario (₹)</t>
  </si>
  <si>
    <t>Year 1</t>
  </si>
  <si>
    <t>Year 2</t>
  </si>
  <si>
    <t>Year 3</t>
  </si>
  <si>
    <t>Year 4</t>
  </si>
  <si>
    <t>Year 5</t>
  </si>
  <si>
    <t xml:space="preserve">  SECTION D — REVENUE &amp; COST PER SEAT ANALYSIS</t>
  </si>
  <si>
    <t>Revenue per Installed Seat / month</t>
  </si>
  <si>
    <t>Based on current occupancy</t>
  </si>
  <si>
    <t>Revenue per Occupied Seat / month</t>
  </si>
  <si>
    <t>Active members only</t>
  </si>
  <si>
    <t>Cost per Occupied Seat / month</t>
  </si>
  <si>
    <t>Full cost allocation</t>
  </si>
  <si>
    <t>Variable Cost per Seat / month</t>
  </si>
  <si>
    <t>From Cost sheet Part C</t>
  </si>
  <si>
    <t>Contribution per Seat / month</t>
  </si>
  <si>
    <t>Revenue/seat minus variable cost</t>
  </si>
  <si>
    <t>Break-even Price per Seat</t>
  </si>
  <si>
    <t>Price to cover ALL fixed + variable costs</t>
  </si>
  <si>
    <t>Break-even Seats Required</t>
  </si>
  <si>
    <t>Fixed Cost ÷ (Price/seat – Variable cost/seat)</t>
  </si>
  <si>
    <t>Break-even Occupancy %</t>
  </si>
  <si>
    <t>Break-even seats ÷ total seats (&gt;100% = unachievable at current price)</t>
  </si>
  <si>
    <t>Note: At current Owned scenario pricing (₹7,500/seat), break-even requires &gt;100% occupancy. Switch to Rent scenario or increase price per seat.</t>
  </si>
  <si>
    <t>REVENUE MODEL — 5-YEAR ANNUAL PROJECTION</t>
  </si>
  <si>
    <t>Year 1 linked to Revenue sheet. Years 2–5 compound Input!C18 inflation annually. No hardcoding.</t>
  </si>
  <si>
    <t xml:space="preserve">  PART 1 — ANNUAL REVENUE BY STREAM (₹)</t>
  </si>
  <si>
    <t>5-Year Total</t>
  </si>
  <si>
    <t>Private Cabins</t>
  </si>
  <si>
    <t>Meeting Rooms</t>
  </si>
  <si>
    <t>Workation Packages</t>
  </si>
  <si>
    <t>TOTAL ANNUAL REVENUE</t>
  </si>
  <si>
    <t>Revenue Growth YoY %</t>
  </si>
  <si>
    <t xml:space="preserve">  PART 2 — MONTHLY REVENUE MIX (YEAR 1 BASE)</t>
  </si>
  <si>
    <t>Stream</t>
  </si>
  <si>
    <t>Monthly (₹)</t>
  </si>
  <si>
    <t>Annual (₹)</t>
  </si>
  <si>
    <t>% of Total Rev</t>
  </si>
  <si>
    <t>Unit Price (₹)</t>
  </si>
  <si>
    <t>Units / Month</t>
  </si>
  <si>
    <t>TOTAL</t>
  </si>
  <si>
    <t xml:space="preserve">  PART 3 — 5-YEAR REVENUE KPIs</t>
  </si>
  <si>
    <t>Formula Basis</t>
  </si>
  <si>
    <t>Year 1 Annual Revenue</t>
  </si>
  <si>
    <t>₹</t>
  </si>
  <si>
    <t>Year 5 Annual Revenue</t>
  </si>
  <si>
    <t>Revenue CAGR (4-year)</t>
  </si>
  <si>
    <t>Average Annual Revenue</t>
  </si>
  <si>
    <t>Monthly Revenue (current base)</t>
  </si>
  <si>
    <t>Revenue per Seat / year</t>
  </si>
  <si>
    <t>Revenue per Occupied Seat / yr</t>
  </si>
  <si>
    <t>Revenue Inflation Rate (input)</t>
  </si>
  <si>
    <t>PROFIT &amp; LOSS STATEMENT — 5-YEAR PROJECTION</t>
  </si>
  <si>
    <t xml:space="preserve">  PROFIT &amp; LOSS — INCOME STATEMENT</t>
  </si>
  <si>
    <t>Line Item</t>
  </si>
  <si>
    <t>5-Yr Total</t>
  </si>
  <si>
    <t xml:space="preserve">  REVENUE</t>
  </si>
  <si>
    <t>Gross Revenue</t>
  </si>
  <si>
    <t xml:space="preserve">    Less: Vacancy &amp; Discounts (5%)</t>
  </si>
  <si>
    <t>NET REVENUE</t>
  </si>
  <si>
    <t xml:space="preserve">  DIRECT / VARIABLE COSTS</t>
  </si>
  <si>
    <t>Variable Cost (₹900/seat × occupied seats × 12 months)</t>
  </si>
  <si>
    <t>GROSS PROFIT  (Net Rev − Variable Cost)</t>
  </si>
  <si>
    <t xml:space="preserve">    Gross Margin %</t>
  </si>
  <si>
    <t xml:space="preserve">  FIXED OPERATING EXPENSES</t>
  </si>
  <si>
    <t xml:space="preserve">    Rent / Loan EMI</t>
  </si>
  <si>
    <t xml:space="preserve">    Salaries (all staff)</t>
  </si>
  <si>
    <t xml:space="preserve">    Internet + Base Electricity</t>
  </si>
  <si>
    <t xml:space="preserve">    Maintenance &amp; Repairs</t>
  </si>
  <si>
    <t xml:space="preserve">    Marketing &amp; Advertising</t>
  </si>
  <si>
    <t xml:space="preserve">    Admin, Insurance &amp; Misc</t>
  </si>
  <si>
    <t>TOTAL FIXED OPERATING EXPENSES</t>
  </si>
  <si>
    <t xml:space="preserve">    EBITDA Margin %</t>
  </si>
  <si>
    <t xml:space="preserve">  DEPRECIATION</t>
  </si>
  <si>
    <t xml:space="preserve">    Depreciation — Fit-out (SLM, 10%/yr)</t>
  </si>
  <si>
    <t xml:space="preserve">    Depreciation — Furniture (WDV, 20%/yr)</t>
  </si>
  <si>
    <t xml:space="preserve">    Depreciation — IT (WDV, 33%/yr)</t>
  </si>
  <si>
    <t>TOTAL DEPRECIATION</t>
  </si>
  <si>
    <t>EBIT  (EBITDA − Depreciation)</t>
  </si>
  <si>
    <t xml:space="preserve">    EBIT Margin %</t>
  </si>
  <si>
    <t xml:space="preserve">  INTEREST ON LOAN</t>
  </si>
  <si>
    <t xml:space="preserve">    Interest Expense (declining on outstanding balance)</t>
  </si>
  <si>
    <t>PBT  (EBIT − Interest)</t>
  </si>
  <si>
    <t xml:space="preserve">    Corporate Tax (25%)</t>
  </si>
  <si>
    <t>PAT  — NET PROFIT / (LOSS)</t>
  </si>
  <si>
    <t xml:space="preserve">    Net Margin %</t>
  </si>
  <si>
    <t xml:space="preserve">    Retained Earnings (cumulative)</t>
  </si>
  <si>
    <t xml:space="preserve">  PROFIT CASES ANALYSIS (YEAR 1 BASE)</t>
  </si>
  <si>
    <t>Case</t>
  </si>
  <si>
    <t>Target PAT</t>
  </si>
  <si>
    <t>Required Annual Revenue</t>
  </si>
  <si>
    <t>Required Occupancy %</t>
  </si>
  <si>
    <t>Required Price/Seat</t>
  </si>
  <si>
    <t>Achievable?</t>
  </si>
  <si>
    <t>Case 1 — Positive Contribution Margin</t>
  </si>
  <si>
    <t>Contribution &gt; 0</t>
  </si>
  <si>
    <t>Case 2 — Break-even  (PAT = 0)</t>
  </si>
  <si>
    <t>PAT = 0</t>
  </si>
  <si>
    <t>Case 3 — 15% Net Profit Margin</t>
  </si>
  <si>
    <t>PAT = 15% of Revenue</t>
  </si>
  <si>
    <t>Case 4 — 30% Net Profit Margin</t>
  </si>
  <si>
    <t>PAT = 30% of Revenue</t>
  </si>
  <si>
    <t xml:space="preserve">  P&amp;L INTEGRITY CHECKS</t>
  </si>
  <si>
    <t>P&amp;L EBITDA = GP − Fixed OpEx</t>
  </si>
  <si>
    <t>P&amp;L PAT = PBT − Tax</t>
  </si>
  <si>
    <t>CASH BUDGET — YEAR 1 MONTHLY + YEARS 2–5 ANNUAL</t>
  </si>
  <si>
    <t>Year 1: month-by-month cash flows. Years 2–5: annual summary. All linked to Input, Costs &amp; P&amp;L.</t>
  </si>
  <si>
    <t xml:space="preserve">  YEAR 1 — MONTHLY CASH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</si>
  <si>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</si>
  <si>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</si>
  <si>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</si>
  <si>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</si>
  <si>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</si>
  <si>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</si>
  <si>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</si>
  <si>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</si>
  <si>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</si>
  <si>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</si>
  <si>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</si>
  <si>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</si>
  <si>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Yr 1 Total</t>
  </si>
  <si>
    <t xml:space="preserve">  CASH INFLOWS</t>
  </si>
  <si>
    <t>Subscription Revenue (monthly)</t>
  </si>
  <si>
    <t>Advance Receipts (2-month advance — Month 1 only)</t>
  </si>
  <si>
    <t>Events &amp; Workation (cash receipts)</t>
  </si>
  <si>
    <t>TOTAL CASH INFLOWS</t>
  </si>
  <si>
    <t xml:space="preserve">  CASH OUTFLOWS</t>
  </si>
  <si>
    <t>Rent / EMI (monthly)</t>
  </si>
  <si>
    <t>Salaries (all staff)</t>
  </si>
  <si>
    <t>Utilities, Internet &amp; Fixed Overheads</t>
  </si>
  <si>
    <t>Variable Costs (occupied seats × ₹900)</t>
  </si>
  <si>
    <t>CAPEX Payment (Month 1 only — equity portion)</t>
  </si>
  <si>
    <t>TOTAL CASH OUTFLOWS</t>
  </si>
  <si>
    <t xml:space="preserve">  NET CASH FLOW &amp; BALANCES</t>
  </si>
  <si>
    <t>NET CASH FLOW (Inflows − Outflows)</t>
  </si>
  <si>
    <t>Opening Cash Balance</t>
  </si>
  <si>
    <t>CLOSING CASH BALANCE</t>
  </si>
  <si>
    <t xml:space="preserve">  YEARS 2–5 ANNUAL CASH SUMMARY</t>
  </si>
  <si>
    <t>4-Year Total</t>
  </si>
  <si>
    <t>Total Cash Inflows (Revenue)</t>
  </si>
  <si>
    <t>Total Cash Outflows (Operating Costs)</t>
  </si>
  <si>
    <t>Net Cash Flow (before financing)</t>
  </si>
  <si>
    <t>Note: Yr2-5 net CF = Revenue − Operating Costs (EBITDA proxy). Loan repayments excluded here; see Costs sheet Part F for full debt schedule.</t>
  </si>
  <si>
    <t xml:space="preserve">  CASH FLOW KPIs</t>
  </si>
  <si>
    <t>Min Monthly Closing Balance (Yr 1)</t>
  </si>
  <si>
    <t>Max Monthly Closing Balance (Yr 1)</t>
  </si>
  <si>
    <t>Months with Negative Closing Balance</t>
  </si>
  <si>
    <t>Avg Monthly Net Cash Flow (Yr 1)</t>
  </si>
  <si>
    <t>Yr 1 Total Cash Inflow</t>
  </si>
  <si>
    <t>Yr 1 Total Cash Outflow</t>
  </si>
  <si>
    <t>Yr 1 Net Cash Flow</t>
  </si>
  <si>
    <t>Closing Cash Balance Yr 5</t>
  </si>
  <si>
    <t>WORKING CAPITAL SCHEDULE — 5-YEAR PROJECTION</t>
  </si>
  <si>
    <t>Receivables, Payables, Advances &amp; Cash Buffer. All linked to P&amp;L and Input sheets.</t>
  </si>
  <si>
    <t xml:space="preserve">  WORKING CAPITAL COMPONENTS (₹)</t>
  </si>
  <si>
    <t>Working Capital Item</t>
  </si>
  <si>
    <t xml:space="preserve">  CURRENT ASSETS</t>
  </si>
  <si>
    <t>Trade Receivables (30-day debtors)</t>
  </si>
  <si>
    <t>Customers paying within 30 days</t>
  </si>
  <si>
    <t>Advance Receipts Collected (2-month)</t>
  </si>
  <si>
    <t>Advance desk fees collected per Input!C25 months</t>
  </si>
  <si>
    <t>Cash &amp; Bank Balance (closing)</t>
  </si>
  <si>
    <t>Linked from CashBudget closing balance</t>
  </si>
  <si>
    <t>Prepaid Expenses (1-month advance costs)</t>
  </si>
  <si>
    <t>Insurance, rent advance etc.</t>
  </si>
  <si>
    <t>TOTAL CURRENT ASSETS</t>
  </si>
  <si>
    <t>Sum of all current assets</t>
  </si>
  <si>
    <t xml:space="preserve">  CURRENT LIABILITIES</t>
  </si>
  <si>
    <t>Trade Payables (30-day creditor terms)</t>
  </si>
  <si>
    <t>Vendors, utilities, consumables on 30-day terms</t>
  </si>
  <si>
    <t>Advance from Customers (refundable)</t>
  </si>
  <si>
    <t>Mirrors advance receipts current asset (net = 0)</t>
  </si>
  <si>
    <t>Salaries Payable (current month accrual)</t>
  </si>
  <si>
    <t>Salaries accrued but unpaid at month-end</t>
  </si>
  <si>
    <t>Loan — Current Portion (annual principal due)</t>
  </si>
  <si>
    <t>Current portion of long-term loan</t>
  </si>
  <si>
    <t>TOTAL CURRENT LIABILITIES</t>
  </si>
  <si>
    <t>Sum of all current liabilities</t>
  </si>
  <si>
    <t xml:space="preserve">  NET WORKING CAPITAL &amp; RATIOS</t>
  </si>
  <si>
    <t>NET WORKING CAPITAL  (CA − CL)</t>
  </si>
  <si>
    <t>Positive = healthy; Negative = short-term stress</t>
  </si>
  <si>
    <t>Current Ratio  (CA ÷ CL)</t>
  </si>
  <si>
    <t>Current assets ÷ current liabilities</t>
  </si>
  <si>
    <t>Quick Ratio  ((CA − Prepaid) ÷ CL)</t>
  </si>
  <si>
    <t>Liquid assets ÷ current liabilities</t>
  </si>
  <si>
    <t>Cash Buffer  (months of fixed costs)</t>
  </si>
  <si>
    <t>Cash balance ÷ monthly fixed costs</t>
  </si>
  <si>
    <t>Working Capital Days</t>
  </si>
  <si>
    <t>Days of revenue tied up in working capital</t>
  </si>
  <si>
    <t>ℹ  High WC Days &amp; Cash Buffer reflect loan proceeds (₹14.3 Cr) held in cash. Operational WC excludes loan capital. Switch to Rent scenario for leaner cash position.</t>
  </si>
  <si>
    <t xml:space="preserve">  RECEIVABLES &amp; PAYABLES DETAIL</t>
  </si>
  <si>
    <t>Debtor Days (Receivable Collection Period)</t>
  </si>
  <si>
    <t>Target: ≤ 30 days</t>
  </si>
  <si>
    <t>Creditor Days (Payable Payment Period)</t>
  </si>
  <si>
    <t>Advance Collection (months)</t>
  </si>
  <si>
    <t>From Input!C25</t>
  </si>
  <si>
    <t>Monthly Revenue Cycle (days)</t>
  </si>
  <si>
    <t>Monthly subscription model = 30-day cycle</t>
  </si>
  <si>
    <t>STANDARD COSTING — COST PER DESK &amp; PER USER</t>
  </si>
  <si>
    <t xml:space="preserve">  A. STANDARD CAPACITY PARAMETERS</t>
  </si>
  <si>
    <t>Standard Value</t>
  </si>
  <si>
    <t>Total Installed Capacity (seats)</t>
  </si>
  <si>
    <t>Standard Occupancy Rate</t>
  </si>
  <si>
    <t>Standard Occupied Seats</t>
  </si>
  <si>
    <t>Total × Occupancy</t>
  </si>
  <si>
    <t>Total Floor Area</t>
  </si>
  <si>
    <t>Total Area / Seats</t>
  </si>
  <si>
    <t>Standard Revenue per Seat (month)</t>
  </si>
  <si>
    <t>Input!C14</t>
  </si>
  <si>
    <t>Operating Days per Year</t>
  </si>
  <si>
    <t>days</t>
  </si>
  <si>
    <t>Calendar assumption</t>
  </si>
  <si>
    <t>Operating Hours per Day</t>
  </si>
  <si>
    <t>hours</t>
  </si>
  <si>
    <t>9 AM – 7 PM</t>
  </si>
  <si>
    <t xml:space="preserve">  B. STANDARD FIXED COST PER SEAT (MONTHLY)</t>
  </si>
  <si>
    <t>Fixed Cost Component</t>
  </si>
  <si>
    <t>Monthly Total (₹)</t>
  </si>
  <si>
    <t>Per Total Seat (₹)</t>
  </si>
  <si>
    <t>Per Occupied Seat (₹)</t>
  </si>
  <si>
    <t>% of Total Fixed</t>
  </si>
  <si>
    <t>TOTAL FIXED COST</t>
  </si>
  <si>
    <t xml:space="preserve">  C. STANDARD VARIABLE COST PER SEAT (MONTHLY)</t>
  </si>
  <si>
    <t>Variable Cost Component</t>
  </si>
  <si>
    <t>Per Seat (₹)</t>
  </si>
  <si>
    <t>Annual per Seat (₹)</t>
  </si>
  <si>
    <t>TOTAL VARIABLE COST / SEAT</t>
  </si>
  <si>
    <t xml:space="preserve">  D. STANDARD COST CARD — PER SEAT PER MONTH</t>
  </si>
  <si>
    <t>Cost Element</t>
  </si>
  <si>
    <t>Per Seat / Month (₹)</t>
  </si>
  <si>
    <t>Per Seat / Year (₹)</t>
  </si>
  <si>
    <t>% of Total Cost</t>
  </si>
  <si>
    <t>Variable Cost per Seat</t>
  </si>
  <si>
    <t>Fixed Cost per Occupied Seat</t>
  </si>
  <si>
    <t>Depreciation per Occupied Seat (monthly)</t>
  </si>
  <si>
    <t>Interest per Occupied Seat (monthly)</t>
  </si>
  <si>
    <t>TOTAL STANDARD COST PER SEAT</t>
  </si>
  <si>
    <t xml:space="preserve">  E. REVENUE vs STANDARD COST — VARIANCE ANALYSIS</t>
  </si>
  <si>
    <t>Interpretation</t>
  </si>
  <si>
    <t>Standard Revenue per Seat / month</t>
  </si>
  <si>
    <t>Selling price per hot desk</t>
  </si>
  <si>
    <t>Standard Total Cost per Seat / month</t>
  </si>
  <si>
    <t>From Cost Card above</t>
  </si>
  <si>
    <t>Revenue - Variable Cost</t>
  </si>
  <si>
    <t>Standard Margin per Seat / month  (Rev − Full Cost)</t>
  </si>
  <si>
    <t>Positive = profitable at this price</t>
  </si>
  <si>
    <t>Cost Recovery %  (Revenue / Full Cost per seat)</t>
  </si>
  <si>
    <t>&lt; 100% = price covers only X% of cost</t>
  </si>
  <si>
    <t>Price-to-Variable-Cost Ratio</t>
  </si>
  <si>
    <t>x</t>
  </si>
  <si>
    <t>How many times price exceeds var cost</t>
  </si>
  <si>
    <t>Required Price for Break-even (per seat)</t>
  </si>
  <si>
    <t>Price to cover all fixed + variable costs</t>
  </si>
  <si>
    <t>Price Deficit / Surplus vs Break-even</t>
  </si>
  <si>
    <t>Negative = price below break-even</t>
  </si>
  <si>
    <t>FLEXIBLE BUDGET — 40% / 60% / 80% OCCUPANCY</t>
  </si>
  <si>
    <t>Full P&amp;L rebuilt for 3 occupancy levels. Fixed costs stay constant; variable costs scale with seats.</t>
  </si>
  <si>
    <t xml:space="preserve">  FLEXIBLE BUDGET STATEMENT (MONTHLY)</t>
  </si>
  <si>
    <t>Budget Line Item</t>
  </si>
  <si>
    <t>Var: 40% vs 60%</t>
  </si>
  <si>
    <t>Var: 60% vs 80%</t>
  </si>
  <si>
    <t>Hot Desk Revenue</t>
  </si>
  <si>
    <t>Dedicated Desk Revenue</t>
  </si>
  <si>
    <t>Private Cabin Revenue</t>
  </si>
  <si>
    <t>TOTAL REVENUE</t>
  </si>
  <si>
    <t xml:space="preserve">  VARIABLE COSTS (scale with occupancy)</t>
  </si>
  <si>
    <t>CONTRIBUTION MARGIN  (Revenue − Variable Cost)</t>
  </si>
  <si>
    <t>Contribution Margin %</t>
  </si>
  <si>
    <t xml:space="preserve">  FIXED COSTS (constant regardless of occupancy)</t>
  </si>
  <si>
    <t>TOTAL FIXED COSTS</t>
  </si>
  <si>
    <t xml:space="preserve">  PROFIT SUMMARY</t>
  </si>
  <si>
    <t>EBITDA  (Contribution − Fixed Costs)</t>
  </si>
  <si>
    <t xml:space="preserve">    Less: Depreciation (fixed)</t>
  </si>
  <si>
    <t xml:space="preserve">    Less: Interest (fixed for given loan)</t>
  </si>
  <si>
    <t xml:space="preserve">    Tax (25% on positive PBT only)</t>
  </si>
  <si>
    <t>PAT — NET PROFIT / (LOSS)</t>
  </si>
  <si>
    <t>Net Margin %</t>
  </si>
  <si>
    <t xml:space="preserve">  RECONCILIATION WITH P&amp;L (Active Scenario)</t>
  </si>
  <si>
    <t>FlexBudget Revenue ties to P&amp;L Net Revenue (at active occ)</t>
  </si>
  <si>
    <t>FlexBudget Fixed Costs tie to Costs!D34</t>
  </si>
  <si>
    <t>BREAK-EVEN ANALYSIS — SEATS, REVENUE &amp; OCCUPANCY</t>
  </si>
  <si>
    <t>BEP = Fixed Cost ÷ (Price − Variable Cost per seat). All linked to Input &amp; Costs sheets.</t>
  </si>
  <si>
    <t xml:space="preserve">  A. BREAK-EVEN INPUTS (FROM MODEL)</t>
  </si>
  <si>
    <t>Input Variable</t>
  </si>
  <si>
    <t>Current Occupancy Rate</t>
  </si>
  <si>
    <t>Selling Price per Seat (Hot Desk)</t>
  </si>
  <si>
    <t>Total Fixed Monthly Cost</t>
  </si>
  <si>
    <t>Total CAPEX</t>
  </si>
  <si>
    <t>Annual Depreciation (Yr 1)</t>
  </si>
  <si>
    <t>₹/yr</t>
  </si>
  <si>
    <t>Annual Interest (Yr 1)</t>
  </si>
  <si>
    <t>Tax Rate</t>
  </si>
  <si>
    <t>WACC</t>
  </si>
  <si>
    <t xml:space="preserve">  B. CONTRIBUTION ANALYSIS</t>
  </si>
  <si>
    <t>Selling Price per Seat</t>
  </si>
  <si>
    <t>Hot desk price</t>
  </si>
  <si>
    <t>Per occupied seat per month</t>
  </si>
  <si>
    <t>Contribution per Seat</t>
  </si>
  <si>
    <t>Price - Variable Cost</t>
  </si>
  <si>
    <t>Contribution Margin Ratio (P/V)</t>
  </si>
  <si>
    <t>Contribution ÷ Price</t>
  </si>
  <si>
    <t xml:space="preserve">  C. BREAK-EVEN POINT CALCULATIONS</t>
  </si>
  <si>
    <t>BEP Metric</t>
  </si>
  <si>
    <t>BEP Seats (monthly)</t>
  </si>
  <si>
    <t>Fixed Cost ÷ Contribution per seat</t>
  </si>
  <si>
    <t>seats/month</t>
  </si>
  <si>
    <t>Min seats to cover all fixed costs</t>
  </si>
  <si>
    <t>BEP Occupancy %</t>
  </si>
  <si>
    <t>BEP Seats ÷ Total Seats</t>
  </si>
  <si>
    <t>&gt;100% means unachievable at current price</t>
  </si>
  <si>
    <t>BEP Monthly Revenue</t>
  </si>
  <si>
    <t>BEP Seats × Price per seat</t>
  </si>
  <si>
    <t>Monthly revenue needed to break even</t>
  </si>
  <si>
    <t>BEP Annual Revenue</t>
  </si>
  <si>
    <t>BEP Monthly Revenue × 12</t>
  </si>
  <si>
    <t>₹/year</t>
  </si>
  <si>
    <t>Annual revenue target for break-even</t>
  </si>
  <si>
    <t>BEP Revenue (P/V Ratio method)</t>
  </si>
  <si>
    <t>Fixed Cost ÷ P/V Ratio</t>
  </si>
  <si>
    <t>Cross-check using P/V ratio</t>
  </si>
  <si>
    <t>Margin of Safety (seats)</t>
  </si>
  <si>
    <t>Actual Occupied Seats − BEP Seats</t>
  </si>
  <si>
    <t>Seats above break-even (buffer)</t>
  </si>
  <si>
    <t>Margin of Safety %</t>
  </si>
  <si>
    <t>MoS Seats ÷ Actual Occupied Seats</t>
  </si>
  <si>
    <t>Negative = currently below BEP</t>
  </si>
  <si>
    <t>Margin of Safety (Revenue)</t>
  </si>
  <si>
    <t>Actual Revenue − BEP Revenue</t>
  </si>
  <si>
    <t>Revenue cushion above BEP</t>
  </si>
  <si>
    <t>Current Actual Seats (occupied)</t>
  </si>
  <si>
    <t>Input Seats × Occupancy Rate</t>
  </si>
  <si>
    <t>At current Input!C13 setting</t>
  </si>
  <si>
    <t>Actual Revenue above/below BEP</t>
  </si>
  <si>
    <t>Actual Revenue − BEP Monthly Revenue</t>
  </si>
  <si>
    <t>Negative = revenue shortfall from BEP</t>
  </si>
  <si>
    <t xml:space="preserve">  D. BEP SENSITIVITY — OCCUPANCY % REQUIRED AT DIFFERENT PRICES</t>
  </si>
  <si>
    <t>Price per Seat (₹/month)</t>
  </si>
  <si>
    <t>BEP Seats</t>
  </si>
  <si>
    <t>BEP Monthly Revenue (₹)</t>
  </si>
  <si>
    <t>Feasibility</t>
  </si>
  <si>
    <t xml:space="preserve">  E. BEP SENSITIVITY — PROFIT AT DIFFERENT OCCUPANCY LEVELS</t>
  </si>
  <si>
    <t>Occupancy Level</t>
  </si>
  <si>
    <t>Monthly Profit / (Loss) (₹)</t>
  </si>
  <si>
    <t>Margin %</t>
  </si>
  <si>
    <t xml:space="preserve">  F. BREAK-EVEN INTEGRITY CHECKS</t>
  </si>
  <si>
    <t>BEP Occ (Section C) ties to Occupancy sheet BEP</t>
  </si>
  <si>
    <t>P/V method BEP Revenue = FC/P/V ratio</t>
  </si>
  <si>
    <t>Contribution per seat &gt; 0 (positive contribution)</t>
  </si>
  <si>
    <t>SENSITIVITY ANALYSIS — OCCUPANCY × PRICE × COST</t>
  </si>
  <si>
    <t>Two-variable sensitivity tables showing Monthly EBITDA (approx). Yellow = current active values.</t>
  </si>
  <si>
    <t>Occ%\Price</t>
  </si>
  <si>
    <t>₹5,000</t>
  </si>
  <si>
    <t>₹6,000</t>
  </si>
  <si>
    <t>₹7,500</t>
  </si>
  <si>
    <t>₹9,000</t>
  </si>
  <si>
    <t>₹10,000</t>
  </si>
  <si>
    <t>₹12,000</t>
  </si>
  <si>
    <t>₹15,000</t>
  </si>
  <si>
    <t>₹20,000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</si>
  <si>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</si>
  <si>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</si>
  <si>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</si>
  <si>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</si>
  <si>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</si>
  <si>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</si>
  <si>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</si>
  <si>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</si>
  <si>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</si>
  <si>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Occ%\FC%</t>
  </si>
  <si>
    <t>110%</t>
  </si>
  <si>
    <t>120%</t>
  </si>
  <si>
    <t>130%</t>
  </si>
  <si>
    <t>RevInfl\CostEsc</t>
  </si>
  <si>
    <t>CE 0%</t>
  </si>
  <si>
    <t>CE 2%</t>
  </si>
  <si>
    <t>CE 3%</t>
  </si>
  <si>
    <t>CE 5%</t>
  </si>
  <si>
    <t>CE 7%</t>
  </si>
  <si>
    <t>CE 10%</t>
  </si>
  <si>
    <t>CE 12%</t>
  </si>
  <si>
    <t>CE 15%</t>
  </si>
  <si>
    <t>RI 0%</t>
  </si>
  <si>
    <t>RI 2%</t>
  </si>
  <si>
    <t>RI 3%</t>
  </si>
  <si>
    <t>RI 5%</t>
  </si>
  <si>
    <t>RI 7%</t>
  </si>
  <si>
    <t>RI 10%</t>
  </si>
  <si>
    <t>RI 12%</t>
  </si>
  <si>
    <t>RI 15%</t>
  </si>
  <si>
    <t>WACC\CF×</t>
  </si>
  <si>
    <t>0.50×</t>
  </si>
  <si>
    <t>0.75×</t>
  </si>
  <si>
    <t>1.00×</t>
  </si>
  <si>
    <t>1.25×</t>
  </si>
  <si>
    <t>1.50×</t>
  </si>
  <si>
    <t>2.00×</t>
  </si>
  <si>
    <t>2.50×</t>
  </si>
  <si>
    <t>3.00×</t>
  </si>
  <si>
    <t>6%</t>
  </si>
  <si>
    <t>8%</t>
  </si>
  <si>
    <t>10%</t>
  </si>
  <si>
    <t>12%</t>
  </si>
  <si>
    <t>14%</t>
  </si>
  <si>
    <t>16%</t>
  </si>
  <si>
    <t>18%</t>
  </si>
  <si>
    <t xml:space="preserve">  NOTES</t>
  </si>
  <si>
    <t>• All tables show EBITDA-level profit (pre-interest, pre-depreciation) for simplicity.</t>
  </si>
  <si>
    <t>• Yellow highlight = current active Input values. Change Input!C6, C13, C14 to see sensitivity update.</t>
  </si>
  <si>
    <t>• Table 4: Positive NPV = value-creating at given WACC. Base Owned scenario deeply negative.</t>
  </si>
  <si>
    <t>• For full IRR/NPV/Payback with actual year-by-year CFs, see Investment Appraisal sheet.</t>
  </si>
  <si>
    <t>INVESTMENT APPRAISAL — NPV · IRR · PI · ARR · PAYBACK</t>
  </si>
  <si>
    <t>Cash flows from P&amp;L Yr1-5, extrapolated Yr6-7. WACC from Input!C20. 7-year horizon + terminal value.</t>
  </si>
  <si>
    <t xml:space="preserve">  A. CASH FLOW SCHEDULE (7-YEAR HORIZON)</t>
  </si>
  <si>
    <t>Yr 0
(Invest)</t>
  </si>
  <si>
    <t>Year 6</t>
  </si>
  <si>
    <t>Year 7</t>
  </si>
  <si>
    <t>Initial Investment (−CAPEX)</t>
  </si>
  <si>
    <t xml:space="preserve">    Annual Net Revenue</t>
  </si>
  <si>
    <t xml:space="preserve">    Annual Variable Costs</t>
  </si>
  <si>
    <t xml:space="preserve">    Annual Fixed Operating Costs</t>
  </si>
  <si>
    <t xml:space="preserve">    Less: Depreciation</t>
  </si>
  <si>
    <t xml:space="preserve">    Less: Interest on Loan</t>
  </si>
  <si>
    <t>PBT</t>
  </si>
  <si>
    <t xml:space="preserve">    Less: Tax</t>
  </si>
  <si>
    <t>PAT (After-Tax Profit)</t>
  </si>
  <si>
    <t xml:space="preserve">    Add back: Depreciation (non-cash)</t>
  </si>
  <si>
    <t xml:space="preserve">    Terminal Value (Yr7 salvage: 10% of CAPEX)</t>
  </si>
  <si>
    <t>OPERATING CASH FLOW (OCF)</t>
  </si>
  <si>
    <t xml:space="preserve">  B. DISCOUNTED CASH FLOW</t>
  </si>
  <si>
    <t>Yr 0</t>
  </si>
  <si>
    <t>Yr 1</t>
  </si>
  <si>
    <t>Yr 2</t>
  </si>
  <si>
    <t>Yr 3</t>
  </si>
  <si>
    <t>Yr 4</t>
  </si>
  <si>
    <t>Yr 5</t>
  </si>
  <si>
    <t>Yr 6</t>
  </si>
  <si>
    <t>Yr 7</t>
  </si>
  <si>
    <t>Discount Factor (1/(1+WACC)^n)</t>
  </si>
  <si>
    <t>PV of OCF</t>
  </si>
  <si>
    <t>Cumulative PV (running NPV)</t>
  </si>
  <si>
    <t xml:space="preserve">  C. APPRAISAL METRICS</t>
  </si>
  <si>
    <t>Total CAPEX (Investment)</t>
  </si>
  <si>
    <t>Initial outlay — Year 0</t>
  </si>
  <si>
    <t>NPV  (Net Present Value)</t>
  </si>
  <si>
    <t>NPV&gt;0 = value-creating; NPV&lt;0 = destroys value</t>
  </si>
  <si>
    <t>IRR  (Internal Rate of Return)</t>
  </si>
  <si>
    <t>IRR &gt; WACC (12%) = accept project</t>
  </si>
  <si>
    <t>WACC (Discount / Hurdle Rate)</t>
  </si>
  <si>
    <t>Minimum required return from Input!C20</t>
  </si>
  <si>
    <t>Profitability Index (PI)</t>
  </si>
  <si>
    <t>PI&gt;1 = accept; PI&lt;1 = reject</t>
  </si>
  <si>
    <t>ARR  (Accounting Rate of Return)</t>
  </si>
  <si>
    <t>Avg annual PAT / CAPEX</t>
  </si>
  <si>
    <t>5-Yr Cumulative PAT</t>
  </si>
  <si>
    <t>From P&amp;L Retained Earnings col G</t>
  </si>
  <si>
    <t>5-Yr Net Revenue</t>
  </si>
  <si>
    <t>Total across 5 years</t>
  </si>
  <si>
    <t xml:space="preserve">  D. PAYBACK SCHEDULE</t>
  </si>
  <si>
    <t>Annual OCF</t>
  </si>
  <si>
    <t>Cumulative OCF</t>
  </si>
  <si>
    <t>Cumulative Discounted OCF</t>
  </si>
  <si>
    <t>Investment Recovered? (Y/N)</t>
  </si>
  <si>
    <t>SCENARIO COMPARISON — OWNED vs. RENT</t>
  </si>
  <si>
    <t>Owned: current model. Rent: recalculated using Assumptions column D values. All formulas linked.</t>
  </si>
  <si>
    <t xml:space="preserve">  SCENARIO COMPARISON</t>
  </si>
  <si>
    <t>Variance (Rent−Owned)</t>
  </si>
  <si>
    <t>% Difference</t>
  </si>
  <si>
    <t xml:space="preserve">  CAPEX</t>
  </si>
  <si>
    <t>Property Purchase</t>
  </si>
  <si>
    <t>Fit-out &amp; Furniture</t>
  </si>
  <si>
    <t>IT+Electrical+Brand+Misc</t>
  </si>
  <si>
    <t>Security Deposit</t>
  </si>
  <si>
    <t>Equity Required (40%)</t>
  </si>
  <si>
    <t>Loan Required (60%)</t>
  </si>
  <si>
    <t xml:space="preserve">  MONTHLY OPERATING COSTS</t>
  </si>
  <si>
    <t>Total Salaries</t>
  </si>
  <si>
    <t>Utilities &amp; Overheads</t>
  </si>
  <si>
    <t>Variable Cost/month</t>
  </si>
  <si>
    <t xml:space="preserve">  P&amp;L — YEAR 1</t>
  </si>
  <si>
    <t>Gross Revenue (Yr 1)</t>
  </si>
  <si>
    <t>Net Revenue (−5% vacancy)</t>
  </si>
  <si>
    <t>Variable Costs (annual)</t>
  </si>
  <si>
    <t>Gross Profit</t>
  </si>
  <si>
    <t>Total Fixed OpEx (annual)</t>
  </si>
  <si>
    <t>Total Depreciation</t>
  </si>
  <si>
    <t>EBIT</t>
  </si>
  <si>
    <t>Interest Expense (annual)</t>
  </si>
  <si>
    <t>Tax</t>
  </si>
  <si>
    <t>PAT (Net Profit / Loss)</t>
  </si>
  <si>
    <t xml:space="preserve">  INVESTMENT APPRAISAL</t>
  </si>
  <si>
    <t>NPV (7-yr, WACC 12%)</t>
  </si>
  <si>
    <t>Annual EBITDA (Yr 1)</t>
  </si>
  <si>
    <t>EBITDA Margin %</t>
  </si>
  <si>
    <t>Payback Period</t>
  </si>
  <si>
    <t xml:space="preserve">  RECOMMENDATION</t>
  </si>
  <si>
    <t>Lower Initial Investment?</t>
  </si>
  <si>
    <t>Owned ₹23.9 Cr vs Rent ₹1.59 Cr</t>
  </si>
  <si>
    <t>Lower Monthly Cost?</t>
  </si>
  <si>
    <t>Owned EMI ₹2.24 Cr vs Rent ₹3.25L/month</t>
  </si>
  <si>
    <t>Better EBITDA (Yr 1)?</t>
  </si>
  <si>
    <t>Rent EBITDA positive; Owned deeply negative</t>
  </si>
  <si>
    <t>Lower CAPEX Risk?</t>
  </si>
  <si>
    <t>Owned CAPEX is ~15× higher</t>
  </si>
  <si>
    <t>OVERALL RECOMMENDATION</t>
  </si>
  <si>
    <t>At ₹7,500/seat pricing, Rent is strongly preferred</t>
  </si>
  <si>
    <t>🏢  COWORKING SPACE — PANJIM, GOA  |  FINANCIAL MODEL EXECUTIVE DASHBOARD</t>
  </si>
  <si>
    <t xml:space="preserve">  KEY INPUTS</t>
  </si>
  <si>
    <t xml:space="preserve">  COSTS</t>
  </si>
  <si>
    <t>Change in Input!C6</t>
  </si>
  <si>
    <t>All 7 revenue streams</t>
  </si>
  <si>
    <t>Seats / Occupancy</t>
  </si>
  <si>
    <t>Annual Revenue Yr 1</t>
  </si>
  <si>
    <t>Fixed Cost / month</t>
  </si>
  <si>
    <t>From Rev_Model</t>
  </si>
  <si>
    <t>Rent/EMI + overheads</t>
  </si>
  <si>
    <t>Price per Seat (₹/mo)</t>
  </si>
  <si>
    <t>5-Year Cum. Revenue</t>
  </si>
  <si>
    <t>Variable Cost / seat</t>
  </si>
  <si>
    <t>Yr1 to Yr5 total</t>
  </si>
  <si>
    <t>₹900 / occupied seat</t>
  </si>
  <si>
    <t xml:space="preserve">  PROFITABILITY RATIOS</t>
  </si>
  <si>
    <t xml:space="preserve">  BREAK-EVEN</t>
  </si>
  <si>
    <t>EBITDA (Annual Yr 1)</t>
  </si>
  <si>
    <t>Gross Margin %</t>
  </si>
  <si>
    <t>BEP Seats Required</t>
  </si>
  <si>
    <t>EBITDA = GP − Fixed OpEx</t>
  </si>
  <si>
    <t>GP / Net Revenue</t>
  </si>
  <si>
    <t>At current price/cost</t>
  </si>
  <si>
    <t>PAT (Net Profit Yr 1)</t>
  </si>
  <si>
    <t>Net Margin % (Yr 1)</t>
  </si>
  <si>
    <t>After tax</t>
  </si>
  <si>
    <t>PAT / Net Revenue</t>
  </si>
  <si>
    <t>&gt;100% = unachievable now</t>
  </si>
  <si>
    <t>5-Year Cumul. PAT</t>
  </si>
  <si>
    <t>EBITDA Margin % (Yr 1)</t>
  </si>
  <si>
    <t>BEP Price / Seat</t>
  </si>
  <si>
    <t>Retained earnings Yr5</t>
  </si>
  <si>
    <t>EBITDA / Net Revenue</t>
  </si>
  <si>
    <t>Required price for BEP</t>
  </si>
  <si>
    <t xml:space="preserve">  INVESTMENT METRICS</t>
  </si>
  <si>
    <t xml:space="preserve">  CASH POSITION</t>
  </si>
  <si>
    <t xml:space="preserve">  WORKING CAPITAL</t>
  </si>
  <si>
    <t>Dec Yr1 Cash Balance</t>
  </si>
  <si>
    <t>Net Working Capital</t>
  </si>
  <si>
    <t>Initial investment</t>
  </si>
  <si>
    <t>End of Year 1</t>
  </si>
  <si>
    <t>CA − CL (Year 1)</t>
  </si>
  <si>
    <t>Yr 3 Cash Position</t>
  </si>
  <si>
    <t>Current Ratio (Yr 1)</t>
  </si>
  <si>
    <t>NPV&lt;0 = destroys value</t>
  </si>
  <si>
    <t>Negative Yr3 (Owned)</t>
  </si>
  <si>
    <t>&gt; 1.5 = healthy</t>
  </si>
  <si>
    <t>IRR</t>
  </si>
  <si>
    <t>Avg Monthly Net CF</t>
  </si>
  <si>
    <t>Cash Buffer (months)</t>
  </si>
  <si>
    <t>IRR &gt; WACC (12%) = accept</t>
  </si>
  <si>
    <t>Year 1 average</t>
  </si>
  <si>
    <t>&gt; 3 months = healthy</t>
  </si>
  <si>
    <t xml:space="preserve">  OVERALL RECOMMENDATION (SWITCHES BY SCENARIO)</t>
  </si>
  <si>
    <t>Rev = Rev_Model</t>
  </si>
  <si>
    <t>Cost D check</t>
  </si>
  <si>
    <t>P&amp;L Rev check</t>
  </si>
  <si>
    <t>P&amp;L EBITDA</t>
  </si>
  <si>
    <t>P&amp;L PAT</t>
  </si>
  <si>
    <t>BEP check</t>
  </si>
  <si>
    <t>P/V method</t>
  </si>
  <si>
    <t>SCENARIO</t>
  </si>
  <si>
    <t>OCCUPANCY</t>
  </si>
  <si>
    <t>SELECT YEAR</t>
  </si>
  <si>
    <t>TOTAL SEATS</t>
  </si>
  <si>
    <t>PRICE / SEAT</t>
  </si>
  <si>
    <t>GROSS REVENUE</t>
  </si>
  <si>
    <t>PAT  (Net Profit)</t>
  </si>
  <si>
    <t>GROSS MARGIN %</t>
  </si>
  <si>
    <t>From P&amp;L · Year I8</t>
  </si>
  <si>
    <t>Before int &amp; dep</t>
  </si>
  <si>
    <t>After tax · neg=loss</t>
  </si>
  <si>
    <t>BEP OCCUPANCY</t>
  </si>
  <si>
    <t>&lt; 0 = destroys value</t>
  </si>
  <si>
    <t>vs WACC 12% hurdle</t>
  </si>
  <si>
    <t>&gt;100% = unachievable</t>
  </si>
  <si>
    <t>Owned ₹23.9Cr·Rent ₹1.6Cr</t>
  </si>
  <si>
    <t>TABLE 1 — 5-YEAR P&amp;L</t>
  </si>
  <si>
    <t>Net Revenue</t>
  </si>
  <si>
    <t>Total Cost</t>
  </si>
  <si>
    <t>PAT</t>
  </si>
  <si>
    <t>TABLE 2 — CASH FLOW</t>
  </si>
  <si>
    <t>Net Cash Flow</t>
  </si>
  <si>
    <t>Cumulative CF</t>
  </si>
  <si>
    <t>TABLE 3 — OCCUPANCY SENSITIVITY (Monthly EBITDA ₹)</t>
  </si>
  <si>
    <t>Occ Level</t>
  </si>
  <si>
    <t>Monthly EBITDA</t>
  </si>
  <si>
    <t>TABLE 4 — SCENARIO COMPARISON (₹ Crores)</t>
  </si>
  <si>
    <t>Ann. EBITDA</t>
  </si>
  <si>
    <t>Ann. PAT</t>
  </si>
  <si>
    <t>Ann. Cost</t>
  </si>
  <si>
    <t>Rent</t>
  </si>
  <si>
    <t>TABLE 5 — ANNUAL COST STRUCTURE (₹)</t>
  </si>
  <si>
    <t>EMI/Rent</t>
  </si>
  <si>
    <t>Salaries</t>
  </si>
  <si>
    <t>Utilities</t>
  </si>
  <si>
    <t>Mktg &amp; Admin</t>
  </si>
  <si>
    <t>Variable</t>
  </si>
  <si>
    <t>Annual Cost</t>
  </si>
  <si>
    <t>🏢  COWORKING SPACE FINANCIAL MODEL — PANAJI, GOA</t>
  </si>
  <si>
    <t xml:space="preserve"> </t>
  </si>
  <si>
    <t>All values in ₹. Revenue linked to Revenue Model. Costs linked to Cost sheet. Scenario-driven.</t>
  </si>
  <si>
    <t>P&amp;L Yr1 Revenue ties to Revenue Model</t>
  </si>
  <si>
    <t>Particular</t>
  </si>
  <si>
    <t>Rent / EMI</t>
  </si>
  <si>
    <t>Salaries — all staff</t>
  </si>
  <si>
    <t>Internet</t>
  </si>
  <si>
    <t>Electricity (base)</t>
  </si>
  <si>
    <t>Maintenance</t>
  </si>
  <si>
    <t>Marketing</t>
  </si>
  <si>
    <t>Admin, Insurance &amp; Misc</t>
  </si>
  <si>
    <t>Cleaning (incremental)</t>
  </si>
  <si>
    <t>Electricity (usage)</t>
  </si>
  <si>
    <t>Internet (bandwidth)</t>
  </si>
  <si>
    <t>Stationery &amp; Misc</t>
  </si>
  <si>
    <t>Standard costs derived from Input &amp; Assumptions. All formulas linked .</t>
  </si>
  <si>
    <t>Source / Notes</t>
  </si>
  <si>
    <t>Total Variable Cost (₹900 × occupied seats)</t>
  </si>
  <si>
    <t>Rent / Loan EMI</t>
  </si>
  <si>
    <t>A. MONTHLY EBITDA: OCCUPANCY % vs PRICE PER SEAT</t>
  </si>
  <si>
    <t>C. ANNUAL EBITDA (YEAR 3): REVENUE INFLATION vs COST ESCALATION</t>
  </si>
  <si>
    <t>D. NPV SENSITIVITY: WACC vs ANNUAL EBITDA MULTIPLE (7-YR ANNUITY)</t>
  </si>
  <si>
    <t>B. MONTHLY EBITDA: OCCUPANCY % vs FIXED COST LEVEL (% of BASE)</t>
  </si>
  <si>
    <t>Final WACC</t>
  </si>
  <si>
    <t>After-tax Cost of Debt</t>
  </si>
  <si>
    <t>Equity %</t>
  </si>
  <si>
    <t>Debt %</t>
  </si>
  <si>
    <t>Cost of Equity</t>
  </si>
  <si>
    <t>Cost of Debt</t>
  </si>
  <si>
    <t>WACC &amp; DISCOUNT RATE CALCULATION</t>
  </si>
  <si>
    <t xml:space="preserve">Particular </t>
  </si>
  <si>
    <t>Particulars</t>
  </si>
  <si>
    <t>Revenue</t>
  </si>
  <si>
    <t>Variable Cost</t>
  </si>
  <si>
    <t>Contribution</t>
  </si>
  <si>
    <t>Fixed Cost</t>
  </si>
  <si>
    <t>Depreciation</t>
  </si>
  <si>
    <t>Interest</t>
  </si>
  <si>
    <t xml:space="preserve">  PROFIT &amp; LOSS — Summary Table </t>
  </si>
  <si>
    <t xml:space="preserve">REVENUE GROWTH TREND </t>
  </si>
  <si>
    <t>Fised cost</t>
  </si>
  <si>
    <t>Fixed vs Variable Cost Table</t>
  </si>
  <si>
    <t xml:space="preserve">Price per Seat per month </t>
  </si>
  <si>
    <t>Net Cash Flow Trend Chart</t>
  </si>
  <si>
    <t xml:space="preserve">Net Cash Flow </t>
  </si>
  <si>
    <t xml:space="preserve">Sheet </t>
  </si>
  <si>
    <t>Srno</t>
  </si>
  <si>
    <t xml:space="preserve">Input </t>
  </si>
  <si>
    <t>Assumptions</t>
  </si>
  <si>
    <t xml:space="preserve">Revenue </t>
  </si>
  <si>
    <t>Cost Sheet</t>
  </si>
  <si>
    <t xml:space="preserve">Profit &amp; Loss </t>
  </si>
  <si>
    <t>Occupancy Analysis</t>
  </si>
  <si>
    <t xml:space="preserve">Cash Budget </t>
  </si>
  <si>
    <t>Standard Costing</t>
  </si>
  <si>
    <t>Flexible Budget</t>
  </si>
  <si>
    <t>Break-even Analysis</t>
  </si>
  <si>
    <t>Sensitivity Analysis</t>
  </si>
  <si>
    <t>Scenario Comparison</t>
  </si>
  <si>
    <t>Dashboard</t>
  </si>
  <si>
    <t>Navigation Tab</t>
  </si>
  <si>
    <t>Revenue Model</t>
  </si>
  <si>
    <t>NPV  (7yr·WACC 10.5%)</t>
  </si>
  <si>
    <t>🏢   COWORKING SPACE — PANJAM, GOA DASHBOARD</t>
  </si>
  <si>
    <t>📈  Performance Report — Owned Scenario  |  80% Occupancy  |  Year 1 of 5</t>
  </si>
  <si>
    <t>⚠️  RENT PREFERRED: Rent EBITDA ₹21L vs Owned ₹-209L  |  BEP price = ₹32,839  |  Current price = ₹7,500</t>
  </si>
  <si>
    <t>KPIs</t>
  </si>
  <si>
    <t>Summary</t>
  </si>
  <si>
    <t>Working Capital</t>
  </si>
  <si>
    <t>Investment Appraisal</t>
  </si>
  <si>
    <t>Large losses reflect Owned scenario EMI… Switch to Rent scenario to see significantly better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</si>
</sst>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;\(#,##0\);\-"/>
    <numFmt numFmtId="165" formatCode="\₹#,##0;&quot;(₹&quot;#,##0\);\-"/>
    <numFmt numFmtId="166" formatCode="0.0%;\-0.0%;\-"/>
    <numFmt numFmtId="167" formatCode="0.0\x"/>
    <numFmt numFmtId="168" formatCode="0.0%;\(0.0%\);\-"/>
    <numFmt numFmtId="169" formatCode="0.00\x"/>
    <numFmt numFmtId="170" formatCode="0.0"/>
    <numFmt numFmtId="171" formatCode="0.0000"/>
    <numFmt numFmtId="172" formatCode="&quot;Year &quot;0"/>
    <numFmt numFmtId="173" formatCode="#,##0&quot; seats&quot;"/>
    <numFmt numFmtId="174" formatCode="0.0%"/>
    <numFmt numFmtId="175" formatCode="\₹0.00&quot; Cr&quot;"/>
  </numFmts>
  <fonts count="7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"/>
    </font>
    <font>
      <i/>
      <sz val="11"/>
      <color rgb="FF595959"/>
      <name val="Arial"/>
      <family val="2"/>
      <charset val="1"/>
    </font>
    <font>
      <i/>
      <sz val="8"/>
      <color rgb="FF595959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000000"/>
      <name val="Arial"/>
      <charset val="1"/>
    </font>
    <font>
      <b/>
      <sz val="12"/>
      <color rgb="FFFFFFFF"/>
      <name val="Arial"/>
      <charset val="1"/>
    </font>
    <font>
      <b/>
      <sz val="8"/>
      <name val="Arial"/>
      <charset val="1"/>
    </font>
    <font>
      <b/>
      <sz val="10"/>
      <name val="Arial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name val="Arial"/>
      <family val="2"/>
    </font>
    <font>
      <b/>
      <sz val="16"/>
      <color rgb="FFC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theme="1"/>
      <name val="Arial"/>
      <family val="2"/>
    </font>
    <font>
      <sz val="12"/>
      <color rgb="FF595959"/>
      <name val="Arial"/>
      <family val="2"/>
    </font>
    <font>
      <i/>
      <sz val="14"/>
      <color rgb="FF595959"/>
      <name val="Arial"/>
      <family val="2"/>
      <charset val="1"/>
    </font>
    <font>
      <sz val="12"/>
      <color rgb="FF0000FF"/>
      <name val="Arial"/>
      <family val="2"/>
      <charset val="1"/>
    </font>
    <font>
      <sz val="12"/>
      <color rgb="FF008000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rgb="FF008000"/>
      <name val="Arial"/>
      <family val="2"/>
    </font>
    <font>
      <b/>
      <sz val="12"/>
      <color rgb="FF000000"/>
      <name val="Arial"/>
      <family val="2"/>
      <charset val="1"/>
    </font>
    <font>
      <b/>
      <i/>
      <sz val="14"/>
      <color rgb="FF595959"/>
      <name val="Arial"/>
      <family val="2"/>
    </font>
    <font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i/>
      <sz val="14"/>
      <color rgb="FFFFFFFF"/>
      <name val="Arial"/>
      <family val="2"/>
    </font>
    <font>
      <i/>
      <sz val="14"/>
      <color rgb="FF595959"/>
      <name val="Arial"/>
      <family val="2"/>
    </font>
    <font>
      <sz val="12"/>
      <color rgb="FF595959"/>
      <name val="Arial"/>
      <family val="2"/>
      <charset val="1"/>
    </font>
    <font>
      <b/>
      <sz val="12"/>
      <color rgb="FF00800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</font>
    <font>
      <b/>
      <sz val="18"/>
      <color rgb="FFFFFFFF"/>
      <name val="Arial"/>
      <family val="2"/>
    </font>
    <font>
      <i/>
      <sz val="12"/>
      <color rgb="FF595959"/>
      <name val="Arial"/>
      <family val="2"/>
    </font>
    <font>
      <b/>
      <sz val="12"/>
      <color rgb="FF2E5DA8"/>
      <name val="Arial"/>
      <family val="2"/>
    </font>
    <font>
      <i/>
      <sz val="12"/>
      <color rgb="FF0070C0"/>
      <name val="Arial"/>
      <family val="2"/>
    </font>
    <font>
      <b/>
      <i/>
      <sz val="12"/>
      <color rgb="FF0070C0"/>
      <name val="Arial"/>
      <family val="2"/>
    </font>
    <font>
      <b/>
      <sz val="14"/>
      <color rgb="FF000000"/>
      <name val="Arial"/>
      <family val="2"/>
    </font>
    <font>
      <b/>
      <sz val="13"/>
      <color rgb="FF000000"/>
      <name val="Arial"/>
      <family val="2"/>
    </font>
    <font>
      <b/>
      <sz val="13"/>
      <color rgb="FFFFFFFF"/>
      <name val="Arial"/>
      <family val="2"/>
    </font>
    <font>
      <i/>
      <sz val="12"/>
      <color rgb="FF000000"/>
      <name val="Arial"/>
      <family val="2"/>
    </font>
    <font>
      <i/>
      <sz val="9"/>
      <color rgb="FF595959"/>
      <name val="Arial"/>
      <family val="2"/>
    </font>
    <font>
      <b/>
      <sz val="12"/>
      <color rgb="FFC00000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FFFF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6"/>
      <color theme="10"/>
      <name val="Calibri"/>
      <family val="2"/>
      <charset val="1"/>
    </font>
    <font>
      <b/>
      <sz val="12"/>
      <color rgb="FF1F3864"/>
      <name val="Arial"/>
      <family val="2"/>
    </font>
    <font>
      <b/>
      <sz val="24"/>
      <color rgb="FFFFFFFF"/>
      <name val="Arial"/>
      <family val="2"/>
    </font>
    <font>
      <sz val="16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1F3864"/>
      <name val="Calibri"/>
      <family val="2"/>
      <scheme val="minor"/>
    </font>
    <font>
      <i/>
      <sz val="10"/>
      <color rgb="FF595959"/>
      <name val="Arial"/>
      <family val="2"/>
    </font>
    <font>
      <u/>
      <sz val="16"/>
      <color theme="10"/>
      <name val="Arial"/>
      <family val="2"/>
    </font>
    <font>
      <sz val="14"/>
      <color theme="1"/>
      <name val="Arial"/>
      <family val="2"/>
    </font>
    <font>
      <b/>
      <sz val="14"/>
      <color rgb="FF1F3864"/>
      <name val="Arial"/>
      <family val="2"/>
    </font>
    <font>
      <b/>
      <sz val="20"/>
      <color theme="0"/>
      <name val="Arial"/>
      <family val="2"/>
    </font>
    <font>
      <b/>
      <sz val="20"/>
      <color theme="1"/>
      <name val="Arial"/>
      <family val="2"/>
    </font>
    <font>
      <b/>
      <u/>
      <sz val="20"/>
      <color theme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DA8"/>
        <bgColor rgb="FF2E75B6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1ABC9C"/>
        <bgColor rgb="FF00CCFF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375623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D9D9D9"/>
      </patternFill>
    </fill>
    <fill>
      <patternFill patternType="solid">
        <fgColor rgb="FF1F4E7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2F2F2"/>
      </patternFill>
    </fill>
    <fill>
      <patternFill patternType="solid">
        <fgColor theme="3"/>
        <bgColor rgb="FFE2EFDA"/>
      </patternFill>
    </fill>
    <fill>
      <patternFill patternType="solid">
        <fgColor theme="3"/>
        <bgColor rgb="FF404040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2E5DA8"/>
      </left>
      <right/>
      <top/>
      <bottom/>
      <diagonal/>
    </border>
  </borders>
  <cellStyleXfs count="4">
    <xf numFmtId="0" fontId="0" fillId="0" borderId="0"/>
    <xf numFmtId="9" fontId="57" fillId="0" borderId="0" applyFont="0" applyFill="0" applyBorder="0" applyAlignment="0" applyProtection="0"/>
    <xf numFmtId="0" fontId="1" fillId="0" borderId="0"/>
    <xf numFmtId="0" fontId="64" fillId="0" borderId="0" applyNumberFormat="0" applyFill="0" applyBorder="0" applyAlignment="0" applyProtection="0"/>
  </cellStyleXfs>
  <cellXfs count="584">
    <xf numFmtId="0" fontId="0" fillId="0" borderId="0" xfId="0"/>
    <xf numFmtId="0" fontId="2" fillId="0" borderId="0" xfId="0" applyFont="1"/>
    <xf numFmtId="0" fontId="4" fillId="0" borderId="1" xfId="0" applyFont="1" applyBorder="1"/>
    <xf numFmtId="0" fontId="0" fillId="10" borderId="1" xfId="0" applyFill="1" applyBorder="1"/>
    <xf numFmtId="0" fontId="4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164" fontId="26" fillId="4" borderId="1" xfId="0" applyNumberFormat="1" applyFont="1" applyFill="1" applyBorder="1" applyAlignment="1">
      <alignment horizontal="right" vertical="center"/>
    </xf>
    <xf numFmtId="165" fontId="27" fillId="6" borderId="1" xfId="0" applyNumberFormat="1" applyFont="1" applyFill="1" applyBorder="1" applyAlignment="1">
      <alignment horizontal="right" vertical="center"/>
    </xf>
    <xf numFmtId="0" fontId="29" fillId="0" borderId="0" xfId="0" applyFont="1"/>
    <xf numFmtId="166" fontId="26" fillId="4" borderId="1" xfId="0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left" vertical="center"/>
    </xf>
    <xf numFmtId="165" fontId="30" fillId="6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65" fontId="32" fillId="6" borderId="1" xfId="0" applyNumberFormat="1" applyFont="1" applyFill="1" applyBorder="1" applyAlignment="1">
      <alignment horizontal="right" vertical="center"/>
    </xf>
    <xf numFmtId="165" fontId="33" fillId="9" borderId="1" xfId="0" applyNumberFormat="1" applyFont="1" applyFill="1" applyBorder="1" applyAlignment="1">
      <alignment horizontal="right" vertical="center"/>
    </xf>
    <xf numFmtId="0" fontId="34" fillId="0" borderId="0" xfId="0" applyFont="1"/>
    <xf numFmtId="166" fontId="32" fillId="6" borderId="1" xfId="0" applyNumberFormat="1" applyFont="1" applyFill="1" applyBorder="1" applyAlignment="1">
      <alignment horizontal="right" vertical="center"/>
    </xf>
    <xf numFmtId="166" fontId="33" fillId="9" borderId="1" xfId="0" applyNumberFormat="1" applyFont="1" applyFill="1" applyBorder="1" applyAlignment="1">
      <alignment horizontal="right" vertical="center"/>
    </xf>
    <xf numFmtId="0" fontId="21" fillId="0" borderId="6" xfId="0" applyFont="1" applyBorder="1" applyAlignment="1">
      <alignment horizontal="left" vertical="center"/>
    </xf>
    <xf numFmtId="0" fontId="24" fillId="5" borderId="12" xfId="0" applyFont="1" applyFill="1" applyBorder="1" applyAlignment="1">
      <alignment horizontal="center" vertical="center" wrapText="1"/>
    </xf>
    <xf numFmtId="0" fontId="24" fillId="5" borderId="1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165" fontId="26" fillId="4" borderId="15" xfId="0" applyNumberFormat="1" applyFont="1" applyFill="1" applyBorder="1" applyAlignment="1">
      <alignment horizontal="right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164" fontId="26" fillId="4" borderId="15" xfId="0" applyNumberFormat="1" applyFont="1" applyFill="1" applyBorder="1" applyAlignment="1">
      <alignment horizontal="right" vertical="center"/>
    </xf>
    <xf numFmtId="0" fontId="27" fillId="0" borderId="15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165" fontId="30" fillId="6" borderId="15" xfId="0" applyNumberFormat="1" applyFont="1" applyFill="1" applyBorder="1" applyAlignment="1">
      <alignment horizontal="right" vertical="center"/>
    </xf>
    <xf numFmtId="0" fontId="27" fillId="10" borderId="18" xfId="0" applyFont="1" applyFill="1" applyBorder="1" applyAlignment="1">
      <alignment horizontal="left" vertical="center"/>
    </xf>
    <xf numFmtId="166" fontId="26" fillId="17" borderId="18" xfId="0" applyNumberFormat="1" applyFont="1" applyFill="1" applyBorder="1" applyAlignment="1">
      <alignment horizontal="right" vertical="center"/>
    </xf>
    <xf numFmtId="166" fontId="35" fillId="18" borderId="18" xfId="0" applyNumberFormat="1" applyFont="1" applyFill="1" applyBorder="1" applyAlignment="1">
      <alignment horizontal="right" vertical="center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165" fontId="32" fillId="6" borderId="15" xfId="0" applyNumberFormat="1" applyFont="1" applyFill="1" applyBorder="1" applyAlignment="1">
      <alignment horizontal="right" vertical="center"/>
    </xf>
    <xf numFmtId="165" fontId="33" fillId="9" borderId="15" xfId="0" applyNumberFormat="1" applyFont="1" applyFill="1" applyBorder="1" applyAlignment="1">
      <alignment horizontal="right" vertical="center"/>
    </xf>
    <xf numFmtId="0" fontId="15" fillId="0" borderId="16" xfId="0" applyFont="1" applyBorder="1" applyAlignment="1">
      <alignment horizontal="left" vertical="center"/>
    </xf>
    <xf numFmtId="0" fontId="27" fillId="10" borderId="14" xfId="0" applyFont="1" applyFill="1" applyBorder="1" applyAlignment="1">
      <alignment horizontal="left" vertical="center"/>
    </xf>
    <xf numFmtId="166" fontId="26" fillId="4" borderId="15" xfId="0" applyNumberFormat="1" applyFont="1" applyFill="1" applyBorder="1" applyAlignment="1">
      <alignment horizontal="right" vertical="center"/>
    </xf>
    <xf numFmtId="166" fontId="35" fillId="9" borderId="15" xfId="0" applyNumberFormat="1" applyFont="1" applyFill="1" applyBorder="1" applyAlignment="1">
      <alignment horizontal="right" vertical="center"/>
    </xf>
    <xf numFmtId="0" fontId="27" fillId="10" borderId="16" xfId="0" applyFont="1" applyFill="1" applyBorder="1" applyAlignment="1">
      <alignment horizontal="left" vertical="center"/>
    </xf>
    <xf numFmtId="164" fontId="33" fillId="9" borderId="1" xfId="0" applyNumberFormat="1" applyFont="1" applyFill="1" applyBorder="1" applyAlignment="1">
      <alignment horizontal="right" vertical="center"/>
    </xf>
    <xf numFmtId="0" fontId="36" fillId="5" borderId="1" xfId="0" applyFont="1" applyFill="1" applyBorder="1" applyAlignment="1">
      <alignment horizontal="center" vertical="center" wrapText="1"/>
    </xf>
    <xf numFmtId="165" fontId="38" fillId="10" borderId="1" xfId="0" applyNumberFormat="1" applyFont="1" applyFill="1" applyBorder="1" applyAlignment="1">
      <alignment horizontal="right" vertical="center"/>
    </xf>
    <xf numFmtId="166" fontId="38" fillId="10" borderId="1" xfId="0" applyNumberFormat="1" applyFont="1" applyFill="1" applyBorder="1" applyAlignment="1">
      <alignment horizontal="right" vertical="center"/>
    </xf>
    <xf numFmtId="0" fontId="34" fillId="5" borderId="1" xfId="0" applyFont="1" applyFill="1" applyBorder="1"/>
    <xf numFmtId="165" fontId="39" fillId="5" borderId="1" xfId="0" applyNumberFormat="1" applyFont="1" applyFill="1" applyBorder="1" applyAlignment="1">
      <alignment horizontal="right" vertical="center"/>
    </xf>
    <xf numFmtId="0" fontId="39" fillId="5" borderId="14" xfId="0" applyFont="1" applyFill="1" applyBorder="1" applyAlignment="1">
      <alignment horizontal="left" vertical="center"/>
    </xf>
    <xf numFmtId="165" fontId="39" fillId="5" borderId="15" xfId="0" applyNumberFormat="1" applyFont="1" applyFill="1" applyBorder="1" applyAlignment="1">
      <alignment horizontal="right" vertical="center"/>
    </xf>
    <xf numFmtId="0" fontId="34" fillId="0" borderId="8" xfId="0" applyFont="1" applyBorder="1"/>
    <xf numFmtId="0" fontId="27" fillId="10" borderId="12" xfId="0" applyFont="1" applyFill="1" applyBorder="1" applyAlignment="1">
      <alignment horizontal="left" vertical="center"/>
    </xf>
    <xf numFmtId="165" fontId="27" fillId="6" borderId="13" xfId="0" applyNumberFormat="1" applyFont="1" applyFill="1" applyBorder="1" applyAlignment="1">
      <alignment horizontal="right" vertical="center"/>
    </xf>
    <xf numFmtId="164" fontId="33" fillId="9" borderId="15" xfId="0" applyNumberFormat="1" applyFont="1" applyFill="1" applyBorder="1" applyAlignment="1">
      <alignment horizontal="right" vertical="center"/>
    </xf>
    <xf numFmtId="0" fontId="36" fillId="5" borderId="0" xfId="0" applyFont="1" applyFill="1" applyAlignment="1">
      <alignment horizontal="center" vertical="center" wrapText="1"/>
    </xf>
    <xf numFmtId="164" fontId="33" fillId="9" borderId="0" xfId="0" applyNumberFormat="1" applyFont="1" applyFill="1" applyAlignment="1">
      <alignment horizontal="right" vertical="center"/>
    </xf>
    <xf numFmtId="165" fontId="33" fillId="9" borderId="0" xfId="0" applyNumberFormat="1" applyFont="1" applyFill="1" applyAlignment="1">
      <alignment horizontal="right" vertical="center"/>
    </xf>
    <xf numFmtId="167" fontId="32" fillId="6" borderId="0" xfId="0" applyNumberFormat="1" applyFont="1" applyFill="1" applyAlignment="1">
      <alignment horizontal="right" vertical="center"/>
    </xf>
    <xf numFmtId="165" fontId="38" fillId="10" borderId="0" xfId="0" applyNumberFormat="1" applyFont="1" applyFill="1" applyAlignment="1">
      <alignment horizontal="right" vertical="center"/>
    </xf>
    <xf numFmtId="166" fontId="38" fillId="10" borderId="0" xfId="0" applyNumberFormat="1" applyFont="1" applyFill="1" applyAlignment="1">
      <alignment horizontal="right" vertical="center"/>
    </xf>
    <xf numFmtId="164" fontId="32" fillId="6" borderId="0" xfId="0" applyNumberFormat="1" applyFont="1" applyFill="1" applyAlignment="1">
      <alignment horizontal="right" vertical="center"/>
    </xf>
    <xf numFmtId="165" fontId="32" fillId="4" borderId="0" xfId="0" applyNumberFormat="1" applyFont="1" applyFill="1" applyAlignment="1">
      <alignment horizontal="right" vertical="center"/>
    </xf>
    <xf numFmtId="0" fontId="36" fillId="5" borderId="26" xfId="0" applyFont="1" applyFill="1" applyBorder="1" applyAlignment="1">
      <alignment horizontal="center" vertical="center" wrapText="1"/>
    </xf>
    <xf numFmtId="0" fontId="36" fillId="5" borderId="27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39" fillId="5" borderId="6" xfId="0" applyFont="1" applyFill="1" applyBorder="1" applyAlignment="1">
      <alignment horizontal="left" vertical="center"/>
    </xf>
    <xf numFmtId="0" fontId="34" fillId="5" borderId="7" xfId="0" applyFont="1" applyFill="1" applyBorder="1"/>
    <xf numFmtId="166" fontId="39" fillId="5" borderId="7" xfId="0" applyNumberFormat="1" applyFont="1" applyFill="1" applyBorder="1" applyAlignment="1">
      <alignment horizontal="right" vertical="center"/>
    </xf>
    <xf numFmtId="165" fontId="38" fillId="6" borderId="27" xfId="0" applyNumberFormat="1" applyFont="1" applyFill="1" applyBorder="1" applyAlignment="1">
      <alignment horizontal="right" vertical="center"/>
    </xf>
    <xf numFmtId="0" fontId="27" fillId="10" borderId="26" xfId="0" applyFont="1" applyFill="1" applyBorder="1" applyAlignment="1">
      <alignment horizontal="left" vertical="center"/>
    </xf>
    <xf numFmtId="165" fontId="27" fillId="6" borderId="27" xfId="0" applyNumberFormat="1" applyFont="1" applyFill="1" applyBorder="1" applyAlignment="1">
      <alignment horizontal="right" vertical="center"/>
    </xf>
    <xf numFmtId="166" fontId="27" fillId="9" borderId="27" xfId="0" applyNumberFormat="1" applyFont="1" applyFill="1" applyBorder="1" applyAlignment="1">
      <alignment horizontal="right" vertical="center"/>
    </xf>
    <xf numFmtId="0" fontId="27" fillId="10" borderId="6" xfId="0" applyFont="1" applyFill="1" applyBorder="1" applyAlignment="1">
      <alignment horizontal="left" vertical="center"/>
    </xf>
    <xf numFmtId="165" fontId="27" fillId="9" borderId="8" xfId="0" applyNumberFormat="1" applyFont="1" applyFill="1" applyBorder="1" applyAlignment="1">
      <alignment horizontal="right" vertical="center"/>
    </xf>
    <xf numFmtId="164" fontId="38" fillId="10" borderId="1" xfId="0" applyNumberFormat="1" applyFont="1" applyFill="1" applyBorder="1" applyAlignment="1">
      <alignment horizontal="right" vertical="center"/>
    </xf>
    <xf numFmtId="165" fontId="36" fillId="5" borderId="1" xfId="0" applyNumberFormat="1" applyFont="1" applyFill="1" applyBorder="1" applyAlignment="1">
      <alignment horizontal="right" vertical="center"/>
    </xf>
    <xf numFmtId="165" fontId="36" fillId="9" borderId="1" xfId="0" applyNumberFormat="1" applyFont="1" applyFill="1" applyBorder="1" applyAlignment="1">
      <alignment horizontal="right" vertical="center"/>
    </xf>
    <xf numFmtId="0" fontId="36" fillId="9" borderId="1" xfId="0" applyFont="1" applyFill="1" applyBorder="1" applyAlignment="1">
      <alignment horizontal="right" vertical="center"/>
    </xf>
    <xf numFmtId="0" fontId="27" fillId="9" borderId="1" xfId="0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center" vertical="center" wrapText="1"/>
    </xf>
    <xf numFmtId="165" fontId="27" fillId="10" borderId="1" xfId="0" applyNumberFormat="1" applyFont="1" applyFill="1" applyBorder="1" applyAlignment="1">
      <alignment horizontal="right" vertical="center"/>
    </xf>
    <xf numFmtId="0" fontId="34" fillId="0" borderId="1" xfId="0" applyFont="1" applyBorder="1"/>
    <xf numFmtId="0" fontId="36" fillId="5" borderId="12" xfId="0" applyFont="1" applyFill="1" applyBorder="1" applyAlignment="1">
      <alignment horizontal="center" vertical="center" wrapText="1"/>
    </xf>
    <xf numFmtId="0" fontId="36" fillId="5" borderId="13" xfId="0" applyFont="1" applyFill="1" applyBorder="1" applyAlignment="1">
      <alignment horizontal="center" vertical="center" wrapText="1"/>
    </xf>
    <xf numFmtId="0" fontId="42" fillId="6" borderId="13" xfId="0" applyFont="1" applyFill="1" applyBorder="1" applyAlignment="1">
      <alignment horizontal="center" vertical="center"/>
    </xf>
    <xf numFmtId="0" fontId="39" fillId="5" borderId="12" xfId="0" applyFont="1" applyFill="1" applyBorder="1" applyAlignment="1">
      <alignment horizontal="left" vertical="center"/>
    </xf>
    <xf numFmtId="0" fontId="34" fillId="5" borderId="13" xfId="0" applyFont="1" applyFill="1" applyBorder="1"/>
    <xf numFmtId="165" fontId="38" fillId="6" borderId="15" xfId="0" applyNumberFormat="1" applyFont="1" applyFill="1" applyBorder="1" applyAlignment="1">
      <alignment horizontal="right" vertical="center"/>
    </xf>
    <xf numFmtId="0" fontId="15" fillId="0" borderId="15" xfId="0" applyFont="1" applyBorder="1" applyAlignment="1">
      <alignment horizontal="left" vertical="center"/>
    </xf>
    <xf numFmtId="0" fontId="34" fillId="5" borderId="16" xfId="0" applyFont="1" applyFill="1" applyBorder="1"/>
    <xf numFmtId="0" fontId="23" fillId="8" borderId="1" xfId="0" applyFont="1" applyFill="1" applyBorder="1" applyAlignment="1">
      <alignment vertical="center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7" fillId="10" borderId="13" xfId="0" applyFont="1" applyFill="1" applyBorder="1" applyAlignment="1">
      <alignment horizontal="left" vertical="center"/>
    </xf>
    <xf numFmtId="165" fontId="27" fillId="10" borderId="15" xfId="0" applyNumberFormat="1" applyFont="1" applyFill="1" applyBorder="1" applyAlignment="1">
      <alignment horizontal="right" vertical="center"/>
    </xf>
    <xf numFmtId="0" fontId="34" fillId="0" borderId="15" xfId="0" applyFont="1" applyBorder="1"/>
    <xf numFmtId="165" fontId="39" fillId="19" borderId="7" xfId="0" applyNumberFormat="1" applyFont="1" applyFill="1" applyBorder="1" applyAlignment="1">
      <alignment horizontal="right" vertical="center"/>
    </xf>
    <xf numFmtId="166" fontId="27" fillId="10" borderId="1" xfId="0" applyNumberFormat="1" applyFont="1" applyFill="1" applyBorder="1" applyAlignment="1">
      <alignment horizontal="right" vertical="center"/>
    </xf>
    <xf numFmtId="165" fontId="35" fillId="9" borderId="1" xfId="0" applyNumberFormat="1" applyFont="1" applyFill="1" applyBorder="1" applyAlignment="1">
      <alignment horizontal="right" vertical="center"/>
    </xf>
    <xf numFmtId="166" fontId="27" fillId="6" borderId="1" xfId="0" applyNumberFormat="1" applyFont="1" applyFill="1" applyBorder="1" applyAlignment="1">
      <alignment horizontal="right" vertical="center"/>
    </xf>
    <xf numFmtId="0" fontId="44" fillId="5" borderId="1" xfId="0" applyFont="1" applyFill="1" applyBorder="1" applyAlignment="1">
      <alignment horizontal="center" vertical="center" wrapText="1"/>
    </xf>
    <xf numFmtId="164" fontId="27" fillId="10" borderId="1" xfId="0" applyNumberFormat="1" applyFont="1" applyFill="1" applyBorder="1" applyAlignment="1">
      <alignment horizontal="left" vertical="center"/>
    </xf>
    <xf numFmtId="164" fontId="35" fillId="9" borderId="1" xfId="0" applyNumberFormat="1" applyFont="1" applyFill="1" applyBorder="1" applyAlignment="1">
      <alignment horizontal="left" vertical="center"/>
    </xf>
    <xf numFmtId="166" fontId="27" fillId="10" borderId="1" xfId="0" applyNumberFormat="1" applyFont="1" applyFill="1" applyBorder="1" applyAlignment="1">
      <alignment horizontal="left" vertical="center"/>
    </xf>
    <xf numFmtId="166" fontId="35" fillId="9" borderId="1" xfId="0" applyNumberFormat="1" applyFont="1" applyFill="1" applyBorder="1" applyAlignment="1">
      <alignment horizontal="left" vertical="center"/>
    </xf>
    <xf numFmtId="165" fontId="27" fillId="10" borderId="1" xfId="0" applyNumberFormat="1" applyFont="1" applyFill="1" applyBorder="1" applyAlignment="1">
      <alignment horizontal="left" vertical="center"/>
    </xf>
    <xf numFmtId="165" fontId="35" fillId="9" borderId="1" xfId="0" applyNumberFormat="1" applyFont="1" applyFill="1" applyBorder="1" applyAlignment="1">
      <alignment horizontal="left" vertical="center"/>
    </xf>
    <xf numFmtId="165" fontId="24" fillId="5" borderId="1" xfId="0" applyNumberFormat="1" applyFont="1" applyFill="1" applyBorder="1" applyAlignment="1">
      <alignment horizontal="left" vertical="center"/>
    </xf>
    <xf numFmtId="165" fontId="44" fillId="9" borderId="1" xfId="0" applyNumberFormat="1" applyFont="1" applyFill="1" applyBorder="1" applyAlignment="1">
      <alignment horizontal="left" vertical="center"/>
    </xf>
    <xf numFmtId="166" fontId="27" fillId="6" borderId="1" xfId="0" applyNumberFormat="1" applyFont="1" applyFill="1" applyBorder="1" applyAlignment="1">
      <alignment horizontal="left" vertical="center"/>
    </xf>
    <xf numFmtId="0" fontId="44" fillId="5" borderId="1" xfId="0" applyFont="1" applyFill="1" applyBorder="1" applyAlignment="1">
      <alignment horizontal="left" vertical="center" wrapText="1"/>
    </xf>
    <xf numFmtId="165" fontId="35" fillId="6" borderId="1" xfId="0" applyNumberFormat="1" applyFont="1" applyFill="1" applyBorder="1" applyAlignment="1">
      <alignment horizontal="left" vertical="center"/>
    </xf>
    <xf numFmtId="164" fontId="27" fillId="6" borderId="1" xfId="0" applyNumberFormat="1" applyFont="1" applyFill="1" applyBorder="1" applyAlignment="1">
      <alignment horizontal="left" vertical="center"/>
    </xf>
    <xf numFmtId="0" fontId="19" fillId="3" borderId="23" xfId="0" applyFont="1" applyFill="1" applyBorder="1" applyAlignment="1">
      <alignment vertical="center"/>
    </xf>
    <xf numFmtId="0" fontId="19" fillId="3" borderId="24" xfId="0" applyFont="1" applyFill="1" applyBorder="1" applyAlignment="1">
      <alignment vertical="center"/>
    </xf>
    <xf numFmtId="0" fontId="19" fillId="3" borderId="25" xfId="0" applyFont="1" applyFill="1" applyBorder="1" applyAlignment="1">
      <alignment vertical="center"/>
    </xf>
    <xf numFmtId="0" fontId="44" fillId="5" borderId="12" xfId="0" applyFont="1" applyFill="1" applyBorder="1" applyAlignment="1">
      <alignment horizontal="left" vertical="center" wrapText="1"/>
    </xf>
    <xf numFmtId="0" fontId="44" fillId="5" borderId="13" xfId="0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165" fontId="35" fillId="9" borderId="15" xfId="0" applyNumberFormat="1" applyFont="1" applyFill="1" applyBorder="1" applyAlignment="1">
      <alignment horizontal="left" vertical="center"/>
    </xf>
    <xf numFmtId="0" fontId="23" fillId="7" borderId="13" xfId="0" applyFont="1" applyFill="1" applyBorder="1" applyAlignment="1">
      <alignment horizontal="left" vertical="center"/>
    </xf>
    <xf numFmtId="164" fontId="35" fillId="9" borderId="13" xfId="0" applyNumberFormat="1" applyFont="1" applyFill="1" applyBorder="1" applyAlignment="1">
      <alignment horizontal="left" vertical="center"/>
    </xf>
    <xf numFmtId="166" fontId="35" fillId="9" borderId="13" xfId="0" applyNumberFormat="1" applyFont="1" applyFill="1" applyBorder="1" applyAlignment="1">
      <alignment horizontal="left" vertical="center"/>
    </xf>
    <xf numFmtId="165" fontId="35" fillId="9" borderId="13" xfId="0" applyNumberFormat="1" applyFont="1" applyFill="1" applyBorder="1" applyAlignment="1">
      <alignment horizontal="left" vertical="center"/>
    </xf>
    <xf numFmtId="0" fontId="24" fillId="5" borderId="12" xfId="0" applyFont="1" applyFill="1" applyBorder="1" applyAlignment="1">
      <alignment horizontal="left" vertical="center"/>
    </xf>
    <xf numFmtId="165" fontId="43" fillId="5" borderId="13" xfId="0" applyNumberFormat="1" applyFont="1" applyFill="1" applyBorder="1" applyAlignment="1">
      <alignment horizontal="left" vertical="center"/>
    </xf>
    <xf numFmtId="165" fontId="43" fillId="9" borderId="13" xfId="0" applyNumberFormat="1" applyFont="1" applyFill="1" applyBorder="1" applyAlignment="1">
      <alignment horizontal="left" vertical="center"/>
    </xf>
    <xf numFmtId="165" fontId="27" fillId="6" borderId="15" xfId="0" applyNumberFormat="1" applyFont="1" applyFill="1" applyBorder="1" applyAlignment="1">
      <alignment horizontal="left" vertical="center"/>
    </xf>
    <xf numFmtId="165" fontId="35" fillId="9" borderId="16" xfId="0" applyNumberFormat="1" applyFont="1" applyFill="1" applyBorder="1" applyAlignment="1">
      <alignment horizontal="left" vertical="center"/>
    </xf>
    <xf numFmtId="165" fontId="27" fillId="10" borderId="15" xfId="0" applyNumberFormat="1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6" fillId="3" borderId="9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/>
    </xf>
    <xf numFmtId="0" fontId="16" fillId="3" borderId="11" xfId="0" applyFont="1" applyFill="1" applyBorder="1" applyAlignment="1">
      <alignment vertical="center"/>
    </xf>
    <xf numFmtId="0" fontId="16" fillId="3" borderId="23" xfId="0" applyFont="1" applyFill="1" applyBorder="1" applyAlignment="1">
      <alignment vertical="center"/>
    </xf>
    <xf numFmtId="0" fontId="16" fillId="3" borderId="24" xfId="0" applyFont="1" applyFill="1" applyBorder="1" applyAlignment="1">
      <alignment vertical="center"/>
    </xf>
    <xf numFmtId="0" fontId="16" fillId="3" borderId="25" xfId="0" applyFont="1" applyFill="1" applyBorder="1" applyAlignment="1">
      <alignment vertical="center"/>
    </xf>
    <xf numFmtId="0" fontId="15" fillId="0" borderId="29" xfId="0" applyFont="1" applyBorder="1" applyAlignment="1">
      <alignment horizontal="left" vertical="center"/>
    </xf>
    <xf numFmtId="165" fontId="38" fillId="10" borderId="17" xfId="0" applyNumberFormat="1" applyFont="1" applyFill="1" applyBorder="1" applyAlignment="1">
      <alignment horizontal="right" vertical="center"/>
    </xf>
    <xf numFmtId="0" fontId="15" fillId="0" borderId="30" xfId="0" applyFont="1" applyBorder="1" applyAlignment="1">
      <alignment horizontal="left" vertical="center"/>
    </xf>
    <xf numFmtId="0" fontId="39" fillId="5" borderId="31" xfId="0" applyFont="1" applyFill="1" applyBorder="1" applyAlignment="1">
      <alignment horizontal="left" vertical="center"/>
    </xf>
    <xf numFmtId="165" fontId="39" fillId="5" borderId="32" xfId="0" applyNumberFormat="1" applyFont="1" applyFill="1" applyBorder="1" applyAlignment="1">
      <alignment horizontal="right" vertical="center"/>
    </xf>
    <xf numFmtId="165" fontId="39" fillId="5" borderId="33" xfId="0" applyNumberFormat="1" applyFont="1" applyFill="1" applyBorder="1" applyAlignment="1">
      <alignment horizontal="right" vertical="center"/>
    </xf>
    <xf numFmtId="0" fontId="15" fillId="10" borderId="12" xfId="0" applyFont="1" applyFill="1" applyBorder="1" applyAlignment="1">
      <alignment horizontal="left" vertical="center"/>
    </xf>
    <xf numFmtId="0" fontId="15" fillId="10" borderId="14" xfId="0" applyFont="1" applyFill="1" applyBorder="1" applyAlignment="1">
      <alignment horizontal="left" vertical="center"/>
    </xf>
    <xf numFmtId="165" fontId="38" fillId="10" borderId="15" xfId="0" applyNumberFormat="1" applyFont="1" applyFill="1" applyBorder="1" applyAlignment="1">
      <alignment horizontal="right" vertical="center"/>
    </xf>
    <xf numFmtId="0" fontId="39" fillId="9" borderId="12" xfId="0" applyFont="1" applyFill="1" applyBorder="1" applyAlignment="1">
      <alignment horizontal="left" vertical="center"/>
    </xf>
    <xf numFmtId="0" fontId="23" fillId="8" borderId="12" xfId="0" applyFont="1" applyFill="1" applyBorder="1" applyAlignment="1">
      <alignment vertical="center"/>
    </xf>
    <xf numFmtId="0" fontId="23" fillId="8" borderId="13" xfId="0" applyFont="1" applyFill="1" applyBorder="1" applyAlignment="1">
      <alignment vertical="center"/>
    </xf>
    <xf numFmtId="0" fontId="27" fillId="9" borderId="15" xfId="0" applyFont="1" applyFill="1" applyBorder="1" applyAlignment="1">
      <alignment horizontal="right" vertical="center"/>
    </xf>
    <xf numFmtId="0" fontId="45" fillId="0" borderId="0" xfId="0" applyFont="1"/>
    <xf numFmtId="166" fontId="27" fillId="6" borderId="15" xfId="0" applyNumberFormat="1" applyFont="1" applyFill="1" applyBorder="1" applyAlignment="1">
      <alignment horizontal="left" vertical="center"/>
    </xf>
    <xf numFmtId="0" fontId="44" fillId="5" borderId="13" xfId="0" applyFont="1" applyFill="1" applyBorder="1" applyAlignment="1">
      <alignment horizontal="center" vertical="center" wrapText="1"/>
    </xf>
    <xf numFmtId="165" fontId="44" fillId="5" borderId="1" xfId="0" applyNumberFormat="1" applyFont="1" applyFill="1" applyBorder="1" applyAlignment="1">
      <alignment horizontal="right" vertical="center"/>
    </xf>
    <xf numFmtId="0" fontId="44" fillId="5" borderId="12" xfId="0" applyFont="1" applyFill="1" applyBorder="1" applyAlignment="1">
      <alignment horizontal="center" vertical="center" wrapText="1"/>
    </xf>
    <xf numFmtId="166" fontId="35" fillId="6" borderId="15" xfId="0" applyNumberFormat="1" applyFont="1" applyFill="1" applyBorder="1" applyAlignment="1">
      <alignment horizontal="right" vertical="center"/>
    </xf>
    <xf numFmtId="164" fontId="35" fillId="9" borderId="13" xfId="0" applyNumberFormat="1" applyFont="1" applyFill="1" applyBorder="1" applyAlignment="1">
      <alignment horizontal="right" vertical="center"/>
    </xf>
    <xf numFmtId="0" fontId="44" fillId="5" borderId="14" xfId="0" applyFont="1" applyFill="1" applyBorder="1" applyAlignment="1">
      <alignment horizontal="left" vertical="center"/>
    </xf>
    <xf numFmtId="165" fontId="35" fillId="9" borderId="15" xfId="0" applyNumberFormat="1" applyFont="1" applyFill="1" applyBorder="1" applyAlignment="1">
      <alignment horizontal="right" vertical="center"/>
    </xf>
    <xf numFmtId="165" fontId="44" fillId="5" borderId="15" xfId="0" applyNumberFormat="1" applyFont="1" applyFill="1" applyBorder="1" applyAlignment="1">
      <alignment horizontal="right" vertical="center"/>
    </xf>
    <xf numFmtId="166" fontId="44" fillId="5" borderId="15" xfId="0" applyNumberFormat="1" applyFont="1" applyFill="1" applyBorder="1" applyAlignment="1">
      <alignment horizontal="right" vertical="center"/>
    </xf>
    <xf numFmtId="0" fontId="44" fillId="5" borderId="15" xfId="0" applyFont="1" applyFill="1" applyBorder="1" applyAlignment="1">
      <alignment horizontal="right" vertical="center"/>
    </xf>
    <xf numFmtId="0" fontId="44" fillId="5" borderId="16" xfId="0" applyFont="1" applyFill="1" applyBorder="1" applyAlignment="1">
      <alignment horizontal="right" vertical="center"/>
    </xf>
    <xf numFmtId="0" fontId="44" fillId="5" borderId="12" xfId="0" applyFont="1" applyFill="1" applyBorder="1" applyAlignment="1">
      <alignment horizontal="left" vertical="center"/>
    </xf>
    <xf numFmtId="165" fontId="44" fillId="5" borderId="13" xfId="0" applyNumberFormat="1" applyFont="1" applyFill="1" applyBorder="1" applyAlignment="1">
      <alignment horizontal="right" vertical="center"/>
    </xf>
    <xf numFmtId="0" fontId="25" fillId="6" borderId="15" xfId="0" applyFont="1" applyFill="1" applyBorder="1" applyAlignment="1">
      <alignment horizontal="center" vertical="center"/>
    </xf>
    <xf numFmtId="166" fontId="27" fillId="6" borderId="15" xfId="0" applyNumberFormat="1" applyFont="1" applyFill="1" applyBorder="1" applyAlignment="1">
      <alignment horizontal="right" vertical="center"/>
    </xf>
    <xf numFmtId="0" fontId="25" fillId="6" borderId="16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left" vertical="center"/>
    </xf>
    <xf numFmtId="165" fontId="47" fillId="6" borderId="1" xfId="0" applyNumberFormat="1" applyFont="1" applyFill="1" applyBorder="1" applyAlignment="1">
      <alignment horizontal="right" vertical="center"/>
    </xf>
    <xf numFmtId="165" fontId="24" fillId="5" borderId="1" xfId="0" applyNumberFormat="1" applyFont="1" applyFill="1" applyBorder="1" applyAlignment="1">
      <alignment horizontal="right" vertical="center"/>
    </xf>
    <xf numFmtId="0" fontId="34" fillId="10" borderId="1" xfId="0" applyFont="1" applyFill="1" applyBorder="1"/>
    <xf numFmtId="165" fontId="44" fillId="9" borderId="1" xfId="0" applyNumberFormat="1" applyFont="1" applyFill="1" applyBorder="1" applyAlignment="1">
      <alignment horizontal="right" vertical="center"/>
    </xf>
    <xf numFmtId="165" fontId="24" fillId="9" borderId="1" xfId="0" applyNumberFormat="1" applyFont="1" applyFill="1" applyBorder="1" applyAlignment="1">
      <alignment horizontal="right" vertical="center"/>
    </xf>
    <xf numFmtId="168" fontId="47" fillId="6" borderId="1" xfId="0" applyNumberFormat="1" applyFont="1" applyFill="1" applyBorder="1" applyAlignment="1">
      <alignment horizontal="right" vertical="center"/>
    </xf>
    <xf numFmtId="165" fontId="44" fillId="11" borderId="1" xfId="0" applyNumberFormat="1" applyFont="1" applyFill="1" applyBorder="1" applyAlignment="1">
      <alignment horizontal="right" vertical="center"/>
    </xf>
    <xf numFmtId="165" fontId="24" fillId="11" borderId="1" xfId="0" applyNumberFormat="1" applyFont="1" applyFill="1" applyBorder="1" applyAlignment="1">
      <alignment horizontal="right" vertical="center"/>
    </xf>
    <xf numFmtId="165" fontId="44" fillId="4" borderId="1" xfId="0" applyNumberFormat="1" applyFont="1" applyFill="1" applyBorder="1" applyAlignment="1">
      <alignment horizontal="right" vertical="center"/>
    </xf>
    <xf numFmtId="165" fontId="24" fillId="4" borderId="1" xfId="0" applyNumberFormat="1" applyFont="1" applyFill="1" applyBorder="1" applyAlignment="1">
      <alignment horizontal="right" vertical="center"/>
    </xf>
    <xf numFmtId="168" fontId="27" fillId="10" borderId="1" xfId="0" applyNumberFormat="1" applyFont="1" applyFill="1" applyBorder="1" applyAlignment="1">
      <alignment horizontal="right" vertical="center"/>
    </xf>
    <xf numFmtId="0" fontId="34" fillId="10" borderId="36" xfId="0" applyFont="1" applyFill="1" applyBorder="1"/>
    <xf numFmtId="0" fontId="47" fillId="10" borderId="12" xfId="0" applyFont="1" applyFill="1" applyBorder="1" applyAlignment="1">
      <alignment horizontal="left" vertical="center"/>
    </xf>
    <xf numFmtId="165" fontId="24" fillId="5" borderId="13" xfId="0" applyNumberFormat="1" applyFont="1" applyFill="1" applyBorder="1" applyAlignment="1">
      <alignment horizontal="right" vertical="center"/>
    </xf>
    <xf numFmtId="0" fontId="34" fillId="10" borderId="12" xfId="0" applyFont="1" applyFill="1" applyBorder="1"/>
    <xf numFmtId="0" fontId="34" fillId="10" borderId="13" xfId="0" applyFont="1" applyFill="1" applyBorder="1"/>
    <xf numFmtId="0" fontId="44" fillId="9" borderId="12" xfId="0" applyFont="1" applyFill="1" applyBorder="1" applyAlignment="1">
      <alignment horizontal="left" vertical="center"/>
    </xf>
    <xf numFmtId="165" fontId="24" fillId="9" borderId="13" xfId="0" applyNumberFormat="1" applyFont="1" applyFill="1" applyBorder="1" applyAlignment="1">
      <alignment horizontal="right" vertical="center"/>
    </xf>
    <xf numFmtId="0" fontId="27" fillId="6" borderId="13" xfId="0" applyFont="1" applyFill="1" applyBorder="1" applyAlignment="1">
      <alignment horizontal="right" vertical="center"/>
    </xf>
    <xf numFmtId="0" fontId="44" fillId="11" borderId="12" xfId="0" applyFont="1" applyFill="1" applyBorder="1" applyAlignment="1">
      <alignment horizontal="left" vertical="center"/>
    </xf>
    <xf numFmtId="165" fontId="24" fillId="11" borderId="13" xfId="0" applyNumberFormat="1" applyFont="1" applyFill="1" applyBorder="1" applyAlignment="1">
      <alignment horizontal="right" vertical="center"/>
    </xf>
    <xf numFmtId="0" fontId="44" fillId="4" borderId="12" xfId="0" applyFont="1" applyFill="1" applyBorder="1" applyAlignment="1">
      <alignment horizontal="left" vertical="center"/>
    </xf>
    <xf numFmtId="165" fontId="24" fillId="4" borderId="13" xfId="0" applyNumberFormat="1" applyFont="1" applyFill="1" applyBorder="1" applyAlignment="1">
      <alignment horizontal="right" vertical="center"/>
    </xf>
    <xf numFmtId="0" fontId="48" fillId="10" borderId="14" xfId="0" applyFont="1" applyFill="1" applyBorder="1" applyAlignment="1">
      <alignment horizontal="left" vertical="center"/>
    </xf>
    <xf numFmtId="165" fontId="24" fillId="5" borderId="15" xfId="0" applyNumberFormat="1" applyFont="1" applyFill="1" applyBorder="1" applyAlignment="1">
      <alignment horizontal="right" vertical="center"/>
    </xf>
    <xf numFmtId="165" fontId="24" fillId="5" borderId="16" xfId="0" applyNumberFormat="1" applyFont="1" applyFill="1" applyBorder="1" applyAlignment="1">
      <alignment horizontal="right" vertical="center"/>
    </xf>
    <xf numFmtId="0" fontId="34" fillId="10" borderId="18" xfId="0" applyFont="1" applyFill="1" applyBorder="1"/>
    <xf numFmtId="0" fontId="24" fillId="6" borderId="12" xfId="0" applyFont="1" applyFill="1" applyBorder="1" applyAlignment="1">
      <alignment horizontal="left" vertical="center"/>
    </xf>
    <xf numFmtId="0" fontId="27" fillId="9" borderId="13" xfId="0" applyFont="1" applyFill="1" applyBorder="1" applyAlignment="1">
      <alignment horizontal="left" vertical="center"/>
    </xf>
    <xf numFmtId="0" fontId="27" fillId="10" borderId="13" xfId="0" applyFont="1" applyFill="1" applyBorder="1" applyAlignment="1">
      <alignment horizontal="right" vertical="center"/>
    </xf>
    <xf numFmtId="0" fontId="24" fillId="6" borderId="14" xfId="0" applyFont="1" applyFill="1" applyBorder="1" applyAlignment="1">
      <alignment horizontal="left" vertical="center"/>
    </xf>
    <xf numFmtId="0" fontId="27" fillId="10" borderId="15" xfId="0" applyFont="1" applyFill="1" applyBorder="1" applyAlignment="1">
      <alignment horizontal="left" vertical="center"/>
    </xf>
    <xf numFmtId="168" fontId="27" fillId="10" borderId="15" xfId="0" applyNumberFormat="1" applyFont="1" applyFill="1" applyBorder="1" applyAlignment="1">
      <alignment horizontal="right" vertical="center"/>
    </xf>
    <xf numFmtId="0" fontId="27" fillId="10" borderId="16" xfId="0" applyFont="1" applyFill="1" applyBorder="1" applyAlignment="1">
      <alignment horizontal="right" vertical="center"/>
    </xf>
    <xf numFmtId="0" fontId="27" fillId="9" borderId="13" xfId="0" applyFont="1" applyFill="1" applyBorder="1" applyAlignment="1">
      <alignment horizontal="right" vertical="center"/>
    </xf>
    <xf numFmtId="0" fontId="27" fillId="9" borderId="16" xfId="0" applyFont="1" applyFill="1" applyBorder="1" applyAlignment="1">
      <alignment horizontal="right" vertical="center"/>
    </xf>
    <xf numFmtId="0" fontId="51" fillId="5" borderId="12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0" fontId="51" fillId="5" borderId="13" xfId="0" applyFont="1" applyFill="1" applyBorder="1" applyAlignment="1">
      <alignment horizontal="center" vertical="center" wrapText="1"/>
    </xf>
    <xf numFmtId="0" fontId="51" fillId="5" borderId="12" xfId="0" applyFont="1" applyFill="1" applyBorder="1" applyAlignment="1">
      <alignment horizontal="left" vertical="center" wrapText="1"/>
    </xf>
    <xf numFmtId="0" fontId="0" fillId="10" borderId="36" xfId="0" applyFill="1" applyBorder="1"/>
    <xf numFmtId="165" fontId="27" fillId="4" borderId="1" xfId="0" applyNumberFormat="1" applyFont="1" applyFill="1" applyBorder="1" applyAlignment="1">
      <alignment horizontal="right" vertical="center"/>
    </xf>
    <xf numFmtId="0" fontId="44" fillId="9" borderId="14" xfId="0" applyFont="1" applyFill="1" applyBorder="1" applyAlignment="1">
      <alignment horizontal="left" vertical="center"/>
    </xf>
    <xf numFmtId="165" fontId="44" fillId="9" borderId="15" xfId="0" applyNumberFormat="1" applyFont="1" applyFill="1" applyBorder="1" applyAlignment="1">
      <alignment horizontal="right" vertical="center"/>
    </xf>
    <xf numFmtId="165" fontId="24" fillId="9" borderId="16" xfId="0" applyNumberFormat="1" applyFont="1" applyFill="1" applyBorder="1" applyAlignment="1">
      <alignment horizontal="right" vertical="center"/>
    </xf>
    <xf numFmtId="165" fontId="27" fillId="5" borderId="1" xfId="0" applyNumberFormat="1" applyFont="1" applyFill="1" applyBorder="1" applyAlignment="1">
      <alignment horizontal="right" vertical="center"/>
    </xf>
    <xf numFmtId="165" fontId="27" fillId="11" borderId="1" xfId="0" applyNumberFormat="1" applyFont="1" applyFill="1" applyBorder="1" applyAlignment="1">
      <alignment horizontal="right" vertical="center"/>
    </xf>
    <xf numFmtId="0" fontId="47" fillId="10" borderId="1" xfId="0" applyFont="1" applyFill="1" applyBorder="1"/>
    <xf numFmtId="0" fontId="34" fillId="10" borderId="37" xfId="0" applyFont="1" applyFill="1" applyBorder="1"/>
    <xf numFmtId="0" fontId="44" fillId="11" borderId="14" xfId="0" applyFont="1" applyFill="1" applyBorder="1" applyAlignment="1">
      <alignment horizontal="left" vertical="center"/>
    </xf>
    <xf numFmtId="165" fontId="44" fillId="11" borderId="15" xfId="0" applyNumberFormat="1" applyFont="1" applyFill="1" applyBorder="1" applyAlignment="1">
      <alignment horizontal="right" vertical="center"/>
    </xf>
    <xf numFmtId="165" fontId="24" fillId="11" borderId="16" xfId="0" applyNumberFormat="1" applyFont="1" applyFill="1" applyBorder="1" applyAlignment="1">
      <alignment horizontal="right" vertical="center"/>
    </xf>
    <xf numFmtId="0" fontId="34" fillId="0" borderId="27" xfId="0" applyFont="1" applyBorder="1"/>
    <xf numFmtId="0" fontId="24" fillId="10" borderId="14" xfId="0" applyFont="1" applyFill="1" applyBorder="1" applyAlignment="1">
      <alignment horizontal="left" vertical="center"/>
    </xf>
    <xf numFmtId="165" fontId="24" fillId="9" borderId="15" xfId="0" applyNumberFormat="1" applyFont="1" applyFill="1" applyBorder="1" applyAlignment="1">
      <alignment horizontal="right" vertical="center"/>
    </xf>
    <xf numFmtId="0" fontId="47" fillId="10" borderId="40" xfId="0" applyFont="1" applyFill="1" applyBorder="1"/>
    <xf numFmtId="0" fontId="34" fillId="10" borderId="40" xfId="0" applyFont="1" applyFill="1" applyBorder="1"/>
    <xf numFmtId="164" fontId="27" fillId="6" borderId="13" xfId="0" applyNumberFormat="1" applyFont="1" applyFill="1" applyBorder="1" applyAlignment="1">
      <alignment horizontal="right" vertical="center"/>
    </xf>
    <xf numFmtId="165" fontId="27" fillId="6" borderId="16" xfId="0" applyNumberFormat="1" applyFont="1" applyFill="1" applyBorder="1" applyAlignment="1">
      <alignment horizontal="right" vertical="center"/>
    </xf>
    <xf numFmtId="165" fontId="34" fillId="0" borderId="0" xfId="0" applyNumberFormat="1" applyFont="1"/>
    <xf numFmtId="169" fontId="27" fillId="6" borderId="1" xfId="0" applyNumberFormat="1" applyFont="1" applyFill="1" applyBorder="1" applyAlignment="1">
      <alignment horizontal="right" vertical="center"/>
    </xf>
    <xf numFmtId="167" fontId="27" fillId="6" borderId="1" xfId="0" applyNumberFormat="1" applyFont="1" applyFill="1" applyBorder="1" applyAlignment="1">
      <alignment horizontal="right" vertical="center"/>
    </xf>
    <xf numFmtId="170" fontId="27" fillId="6" borderId="1" xfId="0" applyNumberFormat="1" applyFont="1" applyFill="1" applyBorder="1" applyAlignment="1">
      <alignment horizontal="right" vertical="center"/>
    </xf>
    <xf numFmtId="0" fontId="27" fillId="9" borderId="16" xfId="0" applyFont="1" applyFill="1" applyBorder="1" applyAlignment="1">
      <alignment horizontal="left" vertical="center"/>
    </xf>
    <xf numFmtId="0" fontId="27" fillId="11" borderId="16" xfId="0" applyFont="1" applyFill="1" applyBorder="1" applyAlignment="1">
      <alignment horizontal="left" vertical="center"/>
    </xf>
    <xf numFmtId="0" fontId="27" fillId="10" borderId="36" xfId="0" applyFont="1" applyFill="1" applyBorder="1" applyAlignment="1">
      <alignment horizontal="left" vertical="center"/>
    </xf>
    <xf numFmtId="170" fontId="27" fillId="6" borderId="36" xfId="0" applyNumberFormat="1" applyFont="1" applyFill="1" applyBorder="1" applyAlignment="1">
      <alignment horizontal="right" vertical="center"/>
    </xf>
    <xf numFmtId="0" fontId="27" fillId="4" borderId="13" xfId="0" applyFont="1" applyFill="1" applyBorder="1" applyAlignment="1">
      <alignment horizontal="left" vertical="center"/>
    </xf>
    <xf numFmtId="170" fontId="27" fillId="6" borderId="15" xfId="0" applyNumberFormat="1" applyFont="1" applyFill="1" applyBorder="1" applyAlignment="1">
      <alignment horizontal="right" vertical="center"/>
    </xf>
    <xf numFmtId="0" fontId="49" fillId="10" borderId="17" xfId="0" applyFont="1" applyFill="1" applyBorder="1"/>
    <xf numFmtId="164" fontId="35" fillId="9" borderId="1" xfId="0" applyNumberFormat="1" applyFont="1" applyFill="1" applyBorder="1" applyAlignment="1">
      <alignment horizontal="right" vertical="center"/>
    </xf>
    <xf numFmtId="168" fontId="35" fillId="9" borderId="1" xfId="0" applyNumberFormat="1" applyFont="1" applyFill="1" applyBorder="1" applyAlignment="1">
      <alignment horizontal="right" vertical="center"/>
    </xf>
    <xf numFmtId="168" fontId="27" fillId="6" borderId="1" xfId="0" applyNumberFormat="1" applyFont="1" applyFill="1" applyBorder="1" applyAlignment="1">
      <alignment horizontal="right" vertical="center"/>
    </xf>
    <xf numFmtId="0" fontId="34" fillId="10" borderId="17" xfId="0" applyFont="1" applyFill="1" applyBorder="1"/>
    <xf numFmtId="168" fontId="27" fillId="6" borderId="13" xfId="0" applyNumberFormat="1" applyFont="1" applyFill="1" applyBorder="1" applyAlignment="1">
      <alignment horizontal="right" vertical="center"/>
    </xf>
    <xf numFmtId="0" fontId="24" fillId="5" borderId="14" xfId="0" applyFont="1" applyFill="1" applyBorder="1" applyAlignment="1">
      <alignment horizontal="left" vertical="center"/>
    </xf>
    <xf numFmtId="168" fontId="44" fillId="5" borderId="16" xfId="0" applyNumberFormat="1" applyFont="1" applyFill="1" applyBorder="1" applyAlignment="1">
      <alignment horizontal="right" vertical="center"/>
    </xf>
    <xf numFmtId="0" fontId="24" fillId="4" borderId="14" xfId="0" applyFont="1" applyFill="1" applyBorder="1" applyAlignment="1">
      <alignment horizontal="left" vertical="center"/>
    </xf>
    <xf numFmtId="165" fontId="44" fillId="4" borderId="15" xfId="0" applyNumberFormat="1" applyFont="1" applyFill="1" applyBorder="1" applyAlignment="1">
      <alignment horizontal="right" vertical="center"/>
    </xf>
    <xf numFmtId="168" fontId="44" fillId="4" borderId="16" xfId="0" applyNumberFormat="1" applyFont="1" applyFill="1" applyBorder="1" applyAlignment="1">
      <alignment horizontal="right" vertical="center"/>
    </xf>
    <xf numFmtId="0" fontId="47" fillId="10" borderId="13" xfId="0" applyFont="1" applyFill="1" applyBorder="1" applyAlignment="1">
      <alignment horizontal="left" vertical="center"/>
    </xf>
    <xf numFmtId="165" fontId="27" fillId="6" borderId="15" xfId="0" applyNumberFormat="1" applyFont="1" applyFill="1" applyBorder="1" applyAlignment="1">
      <alignment horizontal="right" vertical="center"/>
    </xf>
    <xf numFmtId="0" fontId="47" fillId="10" borderId="16" xfId="0" applyFont="1" applyFill="1" applyBorder="1" applyAlignment="1">
      <alignment horizontal="left" vertical="center"/>
    </xf>
    <xf numFmtId="0" fontId="27" fillId="10" borderId="12" xfId="0" applyFont="1" applyFill="1" applyBorder="1" applyAlignment="1">
      <alignment vertical="center"/>
    </xf>
    <xf numFmtId="0" fontId="27" fillId="10" borderId="12" xfId="0" applyFont="1" applyFill="1" applyBorder="1" applyAlignment="1">
      <alignment horizontal="center" vertical="center"/>
    </xf>
    <xf numFmtId="165" fontId="27" fillId="10" borderId="13" xfId="0" applyNumberFormat="1" applyFont="1" applyFill="1" applyBorder="1" applyAlignment="1">
      <alignment horizontal="right" vertical="center"/>
    </xf>
    <xf numFmtId="165" fontId="44" fillId="5" borderId="16" xfId="0" applyNumberFormat="1" applyFont="1" applyFill="1" applyBorder="1" applyAlignment="1">
      <alignment horizontal="right" vertical="center"/>
    </xf>
    <xf numFmtId="49" fontId="22" fillId="4" borderId="8" xfId="0" applyNumberFormat="1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165" fontId="27" fillId="14" borderId="1" xfId="0" applyNumberFormat="1" applyFont="1" applyFill="1" applyBorder="1" applyAlignment="1">
      <alignment horizontal="right" vertical="center"/>
    </xf>
    <xf numFmtId="165" fontId="27" fillId="9" borderId="1" xfId="0" applyNumberFormat="1" applyFont="1" applyFill="1" applyBorder="1" applyAlignment="1">
      <alignment horizontal="right" vertical="center"/>
    </xf>
    <xf numFmtId="0" fontId="52" fillId="5" borderId="12" xfId="0" applyFont="1" applyFill="1" applyBorder="1" applyAlignment="1">
      <alignment horizontal="center" vertical="center" wrapText="1"/>
    </xf>
    <xf numFmtId="0" fontId="53" fillId="8" borderId="13" xfId="0" applyFont="1" applyFill="1" applyBorder="1" applyAlignment="1">
      <alignment horizontal="center" vertical="center" wrapText="1"/>
    </xf>
    <xf numFmtId="165" fontId="44" fillId="6" borderId="15" xfId="0" applyNumberFormat="1" applyFont="1" applyFill="1" applyBorder="1" applyAlignment="1">
      <alignment horizontal="right" vertical="center"/>
    </xf>
    <xf numFmtId="165" fontId="44" fillId="6" borderId="16" xfId="0" applyNumberFormat="1" applyFont="1" applyFill="1" applyBorder="1" applyAlignment="1">
      <alignment horizontal="right" vertical="center"/>
    </xf>
    <xf numFmtId="0" fontId="0" fillId="10" borderId="18" xfId="0" applyFill="1" applyBorder="1"/>
    <xf numFmtId="0" fontId="24" fillId="9" borderId="12" xfId="0" applyFont="1" applyFill="1" applyBorder="1" applyAlignment="1">
      <alignment horizontal="left" vertical="center"/>
    </xf>
    <xf numFmtId="0" fontId="47" fillId="10" borderId="14" xfId="0" applyFont="1" applyFill="1" applyBorder="1" applyAlignment="1">
      <alignment horizontal="left" vertical="center"/>
    </xf>
    <xf numFmtId="168" fontId="54" fillId="6" borderId="15" xfId="0" applyNumberFormat="1" applyFont="1" applyFill="1" applyBorder="1" applyAlignment="1">
      <alignment horizontal="right" vertical="center"/>
    </xf>
    <xf numFmtId="168" fontId="27" fillId="6" borderId="15" xfId="0" applyNumberFormat="1" applyFont="1" applyFill="1" applyBorder="1" applyAlignment="1">
      <alignment horizontal="right" vertical="center"/>
    </xf>
    <xf numFmtId="168" fontId="27" fillId="6" borderId="16" xfId="0" applyNumberFormat="1" applyFont="1" applyFill="1" applyBorder="1" applyAlignment="1">
      <alignment horizontal="right" vertical="center"/>
    </xf>
    <xf numFmtId="0" fontId="24" fillId="11" borderId="14" xfId="0" applyFont="1" applyFill="1" applyBorder="1" applyAlignment="1">
      <alignment horizontal="left" vertical="center"/>
    </xf>
    <xf numFmtId="0" fontId="24" fillId="4" borderId="12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vertical="center"/>
    </xf>
    <xf numFmtId="0" fontId="19" fillId="3" borderId="11" xfId="0" applyFont="1" applyFill="1" applyBorder="1" applyAlignment="1">
      <alignment vertical="center"/>
    </xf>
    <xf numFmtId="0" fontId="16" fillId="3" borderId="12" xfId="0" applyFont="1" applyFill="1" applyBorder="1" applyAlignment="1">
      <alignment horizontal="center" vertical="center" wrapText="1"/>
    </xf>
    <xf numFmtId="164" fontId="27" fillId="10" borderId="1" xfId="0" applyNumberFormat="1" applyFont="1" applyFill="1" applyBorder="1" applyAlignment="1">
      <alignment horizontal="right" vertical="center"/>
    </xf>
    <xf numFmtId="168" fontId="27" fillId="4" borderId="1" xfId="0" applyNumberFormat="1" applyFont="1" applyFill="1" applyBorder="1" applyAlignment="1">
      <alignment horizontal="right" vertical="center"/>
    </xf>
    <xf numFmtId="164" fontId="27" fillId="4" borderId="1" xfId="0" applyNumberFormat="1" applyFont="1" applyFill="1" applyBorder="1" applyAlignment="1">
      <alignment horizontal="right" vertical="center"/>
    </xf>
    <xf numFmtId="0" fontId="0" fillId="10" borderId="17" xfId="0" applyFill="1" applyBorder="1"/>
    <xf numFmtId="168" fontId="26" fillId="10" borderId="12" xfId="0" applyNumberFormat="1" applyFont="1" applyFill="1" applyBorder="1" applyAlignment="1">
      <alignment horizontal="right" vertical="center"/>
    </xf>
    <xf numFmtId="168" fontId="27" fillId="10" borderId="13" xfId="0" applyNumberFormat="1" applyFont="1" applyFill="1" applyBorder="1" applyAlignment="1">
      <alignment horizontal="right" vertical="center"/>
    </xf>
    <xf numFmtId="168" fontId="28" fillId="4" borderId="12" xfId="0" applyNumberFormat="1" applyFont="1" applyFill="1" applyBorder="1" applyAlignment="1">
      <alignment horizontal="right" vertical="center"/>
    </xf>
    <xf numFmtId="168" fontId="27" fillId="4" borderId="13" xfId="0" applyNumberFormat="1" applyFont="1" applyFill="1" applyBorder="1" applyAlignment="1">
      <alignment horizontal="right" vertical="center"/>
    </xf>
    <xf numFmtId="168" fontId="26" fillId="10" borderId="14" xfId="0" applyNumberFormat="1" applyFont="1" applyFill="1" applyBorder="1" applyAlignment="1">
      <alignment horizontal="right" vertical="center"/>
    </xf>
    <xf numFmtId="164" fontId="27" fillId="10" borderId="15" xfId="0" applyNumberFormat="1" applyFont="1" applyFill="1" applyBorder="1" applyAlignment="1">
      <alignment horizontal="right" vertical="center"/>
    </xf>
    <xf numFmtId="168" fontId="27" fillId="10" borderId="16" xfId="0" applyNumberFormat="1" applyFont="1" applyFill="1" applyBorder="1" applyAlignment="1">
      <alignment horizontal="right" vertical="center"/>
    </xf>
    <xf numFmtId="165" fontId="27" fillId="10" borderId="12" xfId="0" applyNumberFormat="1" applyFont="1" applyFill="1" applyBorder="1" applyAlignment="1">
      <alignment horizontal="right" vertical="center"/>
    </xf>
    <xf numFmtId="165" fontId="26" fillId="4" borderId="12" xfId="0" applyNumberFormat="1" applyFont="1" applyFill="1" applyBorder="1" applyAlignment="1">
      <alignment horizontal="right" vertical="center"/>
    </xf>
    <xf numFmtId="165" fontId="27" fillId="10" borderId="14" xfId="0" applyNumberFormat="1" applyFont="1" applyFill="1" applyBorder="1" applyAlignment="1">
      <alignment horizontal="right" vertical="center"/>
    </xf>
    <xf numFmtId="0" fontId="24" fillId="10" borderId="12" xfId="0" applyFont="1" applyFill="1" applyBorder="1" applyAlignment="1">
      <alignment horizontal="left" vertical="center"/>
    </xf>
    <xf numFmtId="168" fontId="27" fillId="9" borderId="15" xfId="0" applyNumberFormat="1" applyFont="1" applyFill="1" applyBorder="1" applyAlignment="1">
      <alignment horizontal="right" vertical="center"/>
    </xf>
    <xf numFmtId="168" fontId="35" fillId="9" borderId="15" xfId="0" applyNumberFormat="1" applyFont="1" applyFill="1" applyBorder="1" applyAlignment="1">
      <alignment horizontal="right" vertical="center"/>
    </xf>
    <xf numFmtId="0" fontId="55" fillId="0" borderId="1" xfId="0" applyFont="1" applyBorder="1"/>
    <xf numFmtId="0" fontId="5" fillId="8" borderId="1" xfId="0" applyFont="1" applyFill="1" applyBorder="1" applyAlignment="1">
      <alignment vertical="center"/>
    </xf>
    <xf numFmtId="0" fontId="0" fillId="10" borderId="0" xfId="0" applyFill="1"/>
    <xf numFmtId="0" fontId="28" fillId="4" borderId="12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/>
    </xf>
    <xf numFmtId="165" fontId="27" fillId="10" borderId="16" xfId="0" applyNumberFormat="1" applyFont="1" applyFill="1" applyBorder="1" applyAlignment="1">
      <alignment horizontal="right" vertical="center"/>
    </xf>
    <xf numFmtId="165" fontId="56" fillId="11" borderId="1" xfId="0" applyNumberFormat="1" applyFont="1" applyFill="1" applyBorder="1" applyAlignment="1">
      <alignment horizontal="right" vertical="center"/>
    </xf>
    <xf numFmtId="171" fontId="27" fillId="6" borderId="1" xfId="0" applyNumberFormat="1" applyFont="1" applyFill="1" applyBorder="1" applyAlignment="1">
      <alignment horizontal="right" vertical="center"/>
    </xf>
    <xf numFmtId="165" fontId="44" fillId="4" borderId="13" xfId="0" applyNumberFormat="1" applyFont="1" applyFill="1" applyBorder="1" applyAlignment="1">
      <alignment horizontal="right" vertical="center"/>
    </xf>
    <xf numFmtId="165" fontId="27" fillId="9" borderId="13" xfId="0" applyNumberFormat="1" applyFont="1" applyFill="1" applyBorder="1" applyAlignment="1">
      <alignment horizontal="right" vertical="center"/>
    </xf>
    <xf numFmtId="0" fontId="24" fillId="9" borderId="14" xfId="0" applyFont="1" applyFill="1" applyBorder="1" applyAlignment="1">
      <alignment horizontal="left" vertical="center"/>
    </xf>
    <xf numFmtId="165" fontId="44" fillId="9" borderId="16" xfId="0" applyNumberFormat="1" applyFont="1" applyFill="1" applyBorder="1" applyAlignment="1">
      <alignment horizontal="right" vertical="center"/>
    </xf>
    <xf numFmtId="171" fontId="27" fillId="6" borderId="13" xfId="0" applyNumberFormat="1" applyFont="1" applyFill="1" applyBorder="1" applyAlignment="1">
      <alignment horizontal="right" vertical="center"/>
    </xf>
    <xf numFmtId="0" fontId="27" fillId="10" borderId="15" xfId="0" applyFont="1" applyFill="1" applyBorder="1" applyAlignment="1">
      <alignment horizontal="right" vertical="center"/>
    </xf>
    <xf numFmtId="0" fontId="23" fillId="15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165" fontId="24" fillId="10" borderId="1" xfId="0" applyNumberFormat="1" applyFont="1" applyFill="1" applyBorder="1" applyAlignment="1">
      <alignment horizontal="right" vertical="center"/>
    </xf>
    <xf numFmtId="168" fontId="24" fillId="10" borderId="1" xfId="0" applyNumberFormat="1" applyFont="1" applyFill="1" applyBorder="1" applyAlignment="1">
      <alignment horizontal="right" vertical="center"/>
    </xf>
    <xf numFmtId="0" fontId="25" fillId="6" borderId="15" xfId="0" applyFont="1" applyFill="1" applyBorder="1" applyAlignment="1">
      <alignment horizontal="right" vertical="center"/>
    </xf>
    <xf numFmtId="168" fontId="25" fillId="6" borderId="16" xfId="0" applyNumberFormat="1" applyFont="1" applyFill="1" applyBorder="1" applyAlignment="1">
      <alignment horizontal="right" vertical="center"/>
    </xf>
    <xf numFmtId="165" fontId="24" fillId="11" borderId="15" xfId="0" applyNumberFormat="1" applyFont="1" applyFill="1" applyBorder="1" applyAlignment="1">
      <alignment horizontal="right" vertical="center"/>
    </xf>
    <xf numFmtId="0" fontId="23" fillId="8" borderId="13" xfId="0" applyFont="1" applyFill="1" applyBorder="1" applyAlignment="1">
      <alignment horizontal="center" vertical="center" wrapText="1"/>
    </xf>
    <xf numFmtId="0" fontId="1" fillId="0" borderId="0" xfId="2"/>
    <xf numFmtId="0" fontId="1" fillId="0" borderId="26" xfId="2" applyBorder="1"/>
    <xf numFmtId="0" fontId="1" fillId="0" borderId="6" xfId="2" applyBorder="1"/>
    <xf numFmtId="0" fontId="58" fillId="20" borderId="3" xfId="2" applyFont="1" applyFill="1" applyBorder="1"/>
    <xf numFmtId="174" fontId="1" fillId="0" borderId="5" xfId="2" applyNumberFormat="1" applyBorder="1"/>
    <xf numFmtId="0" fontId="58" fillId="20" borderId="6" xfId="2" applyFont="1" applyFill="1" applyBorder="1"/>
    <xf numFmtId="174" fontId="1" fillId="0" borderId="8" xfId="2" applyNumberFormat="1" applyBorder="1"/>
    <xf numFmtId="174" fontId="1" fillId="0" borderId="27" xfId="2" applyNumberFormat="1" applyBorder="1"/>
    <xf numFmtId="0" fontId="61" fillId="21" borderId="3" xfId="2" applyFont="1" applyFill="1" applyBorder="1"/>
    <xf numFmtId="0" fontId="61" fillId="21" borderId="5" xfId="2" applyFont="1" applyFill="1" applyBorder="1"/>
    <xf numFmtId="0" fontId="47" fillId="10" borderId="7" xfId="0" applyFont="1" applyFill="1" applyBorder="1" applyAlignment="1">
      <alignment horizontal="left" vertical="center"/>
    </xf>
    <xf numFmtId="0" fontId="29" fillId="0" borderId="26" xfId="0" applyFont="1" applyBorder="1" applyAlignment="1">
      <alignment vertical="center" wrapText="1"/>
    </xf>
    <xf numFmtId="165" fontId="29" fillId="0" borderId="0" xfId="0" applyNumberFormat="1" applyFont="1" applyAlignment="1">
      <alignment vertical="center" wrapText="1"/>
    </xf>
    <xf numFmtId="165" fontId="29" fillId="0" borderId="27" xfId="0" applyNumberFormat="1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165" fontId="29" fillId="0" borderId="7" xfId="0" applyNumberFormat="1" applyFont="1" applyBorder="1" applyAlignment="1">
      <alignment vertical="center" wrapText="1"/>
    </xf>
    <xf numFmtId="165" fontId="29" fillId="0" borderId="8" xfId="0" applyNumberFormat="1" applyFont="1" applyBorder="1" applyAlignment="1">
      <alignment vertical="center" wrapText="1"/>
    </xf>
    <xf numFmtId="9" fontId="26" fillId="4" borderId="1" xfId="1" applyFont="1" applyFill="1" applyBorder="1" applyAlignment="1">
      <alignment horizontal="right" vertical="center"/>
    </xf>
    <xf numFmtId="0" fontId="24" fillId="5" borderId="0" xfId="0" applyFont="1" applyFill="1" applyAlignment="1">
      <alignment horizontal="center" vertical="center" wrapText="1"/>
    </xf>
    <xf numFmtId="0" fontId="24" fillId="5" borderId="26" xfId="0" applyFont="1" applyFill="1" applyBorder="1" applyAlignment="1">
      <alignment horizontal="center" vertical="center" wrapText="1"/>
    </xf>
    <xf numFmtId="0" fontId="24" fillId="5" borderId="27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65" fontId="34" fillId="0" borderId="27" xfId="0" applyNumberFormat="1" applyFont="1" applyBorder="1"/>
    <xf numFmtId="165" fontId="34" fillId="0" borderId="7" xfId="0" applyNumberFormat="1" applyFont="1" applyBorder="1"/>
    <xf numFmtId="165" fontId="34" fillId="0" borderId="8" xfId="0" applyNumberFormat="1" applyFont="1" applyBorder="1"/>
    <xf numFmtId="164" fontId="27" fillId="10" borderId="0" xfId="0" applyNumberFormat="1" applyFont="1" applyFill="1" applyAlignment="1">
      <alignment horizontal="right" vertical="center"/>
    </xf>
    <xf numFmtId="0" fontId="27" fillId="10" borderId="0" xfId="0" applyFont="1" applyFill="1" applyAlignment="1">
      <alignment horizontal="left" vertical="center"/>
    </xf>
    <xf numFmtId="0" fontId="47" fillId="10" borderId="0" xfId="0" applyFont="1" applyFill="1" applyAlignment="1">
      <alignment horizontal="left" vertical="center"/>
    </xf>
    <xf numFmtId="168" fontId="27" fillId="4" borderId="0" xfId="0" applyNumberFormat="1" applyFont="1" applyFill="1" applyAlignment="1">
      <alignment horizontal="right" vertical="center"/>
    </xf>
    <xf numFmtId="165" fontId="27" fillId="10" borderId="0" xfId="0" applyNumberFormat="1" applyFont="1" applyFill="1" applyAlignment="1">
      <alignment horizontal="right" vertical="center"/>
    </xf>
    <xf numFmtId="164" fontId="27" fillId="9" borderId="0" xfId="0" applyNumberFormat="1" applyFont="1" applyFill="1" applyAlignment="1">
      <alignment horizontal="right" vertical="center"/>
    </xf>
    <xf numFmtId="165" fontId="27" fillId="9" borderId="0" xfId="0" applyNumberFormat="1" applyFont="1" applyFill="1" applyAlignment="1">
      <alignment horizontal="right" vertical="center"/>
    </xf>
    <xf numFmtId="0" fontId="24" fillId="10" borderId="26" xfId="0" applyFont="1" applyFill="1" applyBorder="1" applyAlignment="1">
      <alignment horizontal="left" vertical="center"/>
    </xf>
    <xf numFmtId="0" fontId="47" fillId="6" borderId="27" xfId="0" applyFont="1" applyFill="1" applyBorder="1" applyAlignment="1">
      <alignment horizontal="left" vertical="center"/>
    </xf>
    <xf numFmtId="165" fontId="27" fillId="10" borderId="7" xfId="0" applyNumberFormat="1" applyFont="1" applyFill="1" applyBorder="1" applyAlignment="1">
      <alignment horizontal="right" vertical="center"/>
    </xf>
    <xf numFmtId="0" fontId="27" fillId="10" borderId="7" xfId="0" applyFont="1" applyFill="1" applyBorder="1" applyAlignment="1">
      <alignment horizontal="left" vertical="center"/>
    </xf>
    <xf numFmtId="0" fontId="47" fillId="6" borderId="8" xfId="0" applyFont="1" applyFill="1" applyBorder="1" applyAlignment="1">
      <alignment horizontal="left" vertical="center"/>
    </xf>
    <xf numFmtId="165" fontId="27" fillId="22" borderId="12" xfId="0" applyNumberFormat="1" applyFont="1" applyFill="1" applyBorder="1" applyAlignment="1">
      <alignment horizontal="right" vertical="center"/>
    </xf>
    <xf numFmtId="164" fontId="27" fillId="22" borderId="1" xfId="0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center" vertical="center" wrapText="1"/>
    </xf>
    <xf numFmtId="165" fontId="54" fillId="6" borderId="0" xfId="0" applyNumberFormat="1" applyFont="1" applyFill="1" applyAlignment="1">
      <alignment horizontal="left" vertical="center"/>
    </xf>
    <xf numFmtId="165" fontId="24" fillId="9" borderId="0" xfId="0" applyNumberFormat="1" applyFont="1" applyFill="1" applyAlignment="1">
      <alignment horizontal="right" vertical="center"/>
    </xf>
    <xf numFmtId="168" fontId="24" fillId="4" borderId="0" xfId="0" applyNumberFormat="1" applyFont="1" applyFill="1" applyAlignment="1">
      <alignment horizontal="right" vertical="center"/>
    </xf>
    <xf numFmtId="0" fontId="54" fillId="6" borderId="0" xfId="0" applyFont="1" applyFill="1" applyAlignment="1">
      <alignment horizontal="left" vertical="center"/>
    </xf>
    <xf numFmtId="10" fontId="59" fillId="0" borderId="0" xfId="1" applyNumberFormat="1" applyFont="1" applyBorder="1"/>
    <xf numFmtId="166" fontId="54" fillId="6" borderId="0" xfId="0" applyNumberFormat="1" applyFont="1" applyFill="1" applyAlignment="1">
      <alignment horizontal="left" vertical="center"/>
    </xf>
    <xf numFmtId="2" fontId="24" fillId="9" borderId="0" xfId="0" applyNumberFormat="1" applyFont="1" applyFill="1" applyAlignment="1">
      <alignment horizontal="right" vertical="center"/>
    </xf>
    <xf numFmtId="2" fontId="54" fillId="6" borderId="0" xfId="0" applyNumberFormat="1" applyFont="1" applyFill="1" applyAlignment="1">
      <alignment horizontal="left" vertical="center"/>
    </xf>
    <xf numFmtId="168" fontId="27" fillId="10" borderId="0" xfId="0" applyNumberFormat="1" applyFont="1" applyFill="1" applyAlignment="1">
      <alignment horizontal="right" vertical="center"/>
    </xf>
    <xf numFmtId="0" fontId="23" fillId="3" borderId="26" xfId="0" applyFont="1" applyFill="1" applyBorder="1" applyAlignment="1">
      <alignment horizontal="center" vertical="center" wrapText="1"/>
    </xf>
    <xf numFmtId="165" fontId="54" fillId="6" borderId="7" xfId="0" applyNumberFormat="1" applyFont="1" applyFill="1" applyBorder="1" applyAlignment="1">
      <alignment horizontal="left" vertical="center"/>
    </xf>
    <xf numFmtId="0" fontId="65" fillId="0" borderId="0" xfId="3" applyFont="1"/>
    <xf numFmtId="0" fontId="7" fillId="6" borderId="0" xfId="0" applyFont="1" applyFill="1" applyAlignment="1">
      <alignment vertical="center"/>
    </xf>
    <xf numFmtId="0" fontId="29" fillId="0" borderId="0" xfId="0" applyFont="1" applyAlignment="1">
      <alignment wrapText="1"/>
    </xf>
    <xf numFmtId="0" fontId="24" fillId="6" borderId="1" xfId="0" applyFont="1" applyFill="1" applyBorder="1" applyAlignment="1">
      <alignment horizontal="left" vertical="center" wrapText="1"/>
    </xf>
    <xf numFmtId="165" fontId="27" fillId="10" borderId="1" xfId="0" applyNumberFormat="1" applyFont="1" applyFill="1" applyBorder="1" applyAlignment="1">
      <alignment horizontal="right" vertical="center" wrapText="1"/>
    </xf>
    <xf numFmtId="0" fontId="29" fillId="25" borderId="0" xfId="0" applyFont="1" applyFill="1"/>
    <xf numFmtId="0" fontId="23" fillId="3" borderId="9" xfId="0" applyFont="1" applyFill="1" applyBorder="1" applyAlignment="1">
      <alignment vertical="center"/>
    </xf>
    <xf numFmtId="0" fontId="23" fillId="3" borderId="11" xfId="0" applyFont="1" applyFill="1" applyBorder="1" applyAlignment="1">
      <alignment vertical="center"/>
    </xf>
    <xf numFmtId="0" fontId="29" fillId="0" borderId="26" xfId="0" applyFont="1" applyBorder="1" applyAlignment="1">
      <alignment wrapText="1"/>
    </xf>
    <xf numFmtId="0" fontId="29" fillId="0" borderId="27" xfId="0" applyFont="1" applyBorder="1" applyAlignment="1">
      <alignment wrapText="1"/>
    </xf>
    <xf numFmtId="0" fontId="44" fillId="6" borderId="1" xfId="0" applyFont="1" applyFill="1" applyBorder="1" applyAlignment="1">
      <alignment horizontal="left" vertical="center" wrapText="1"/>
    </xf>
    <xf numFmtId="165" fontId="25" fillId="10" borderId="1" xfId="0" applyNumberFormat="1" applyFont="1" applyFill="1" applyBorder="1" applyAlignment="1">
      <alignment horizontal="right" vertical="center" wrapText="1"/>
    </xf>
    <xf numFmtId="0" fontId="29" fillId="0" borderId="6" xfId="0" applyFont="1" applyBorder="1" applyAlignment="1">
      <alignment wrapText="1"/>
    </xf>
    <xf numFmtId="0" fontId="29" fillId="0" borderId="8" xfId="0" applyFont="1" applyBorder="1" applyAlignment="1">
      <alignment wrapText="1"/>
    </xf>
    <xf numFmtId="175" fontId="27" fillId="10" borderId="1" xfId="0" applyNumberFormat="1" applyFont="1" applyFill="1" applyBorder="1" applyAlignment="1">
      <alignment horizontal="right" vertical="center" wrapText="1"/>
    </xf>
    <xf numFmtId="174" fontId="66" fillId="26" borderId="0" xfId="0" applyNumberFormat="1" applyFont="1" applyFill="1" applyAlignment="1">
      <alignment vertical="center"/>
    </xf>
    <xf numFmtId="0" fontId="47" fillId="27" borderId="0" xfId="0" applyFont="1" applyFill="1" applyAlignment="1">
      <alignment vertical="center"/>
    </xf>
    <xf numFmtId="165" fontId="66" fillId="26" borderId="0" xfId="0" applyNumberFormat="1" applyFont="1" applyFill="1" applyAlignment="1">
      <alignment vertical="center"/>
    </xf>
    <xf numFmtId="0" fontId="71" fillId="27" borderId="0" xfId="0" applyFont="1" applyFill="1" applyAlignment="1">
      <alignment vertical="center"/>
    </xf>
    <xf numFmtId="0" fontId="29" fillId="25" borderId="0" xfId="0" applyFont="1" applyFill="1" applyAlignment="1">
      <alignment wrapText="1"/>
    </xf>
    <xf numFmtId="0" fontId="68" fillId="25" borderId="0" xfId="0" applyFont="1" applyFill="1"/>
    <xf numFmtId="0" fontId="29" fillId="25" borderId="0" xfId="0" applyFont="1" applyFill="1" applyAlignment="1">
      <alignment horizontal="center"/>
    </xf>
    <xf numFmtId="0" fontId="73" fillId="25" borderId="0" xfId="0" applyFont="1" applyFill="1"/>
    <xf numFmtId="0" fontId="29" fillId="25" borderId="0" xfId="0" applyFont="1" applyFill="1" applyAlignment="1">
      <alignment horizontal="left"/>
    </xf>
    <xf numFmtId="0" fontId="19" fillId="15" borderId="0" xfId="0" applyFont="1" applyFill="1" applyAlignment="1">
      <alignment vertical="center"/>
    </xf>
    <xf numFmtId="0" fontId="75" fillId="23" borderId="3" xfId="0" applyFont="1" applyFill="1" applyBorder="1" applyAlignment="1">
      <alignment horizontal="center"/>
    </xf>
    <xf numFmtId="0" fontId="75" fillId="23" borderId="5" xfId="0" applyFont="1" applyFill="1" applyBorder="1" applyAlignment="1">
      <alignment horizontal="center"/>
    </xf>
    <xf numFmtId="0" fontId="76" fillId="24" borderId="26" xfId="0" applyFont="1" applyFill="1" applyBorder="1"/>
    <xf numFmtId="0" fontId="77" fillId="24" borderId="8" xfId="3" applyFont="1" applyFill="1" applyBorder="1" applyAlignment="1">
      <alignment horizontal="left"/>
    </xf>
    <xf numFmtId="0" fontId="77" fillId="24" borderId="27" xfId="3" applyFont="1" applyFill="1" applyBorder="1" applyAlignment="1">
      <alignment horizontal="left"/>
    </xf>
    <xf numFmtId="0" fontId="76" fillId="24" borderId="6" xfId="0" applyFont="1" applyFill="1" applyBorder="1"/>
    <xf numFmtId="0" fontId="72" fillId="0" borderId="0" xfId="3" applyFont="1" applyAlignment="1">
      <alignment horizontal="center"/>
    </xf>
    <xf numFmtId="0" fontId="19" fillId="3" borderId="23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29" fillId="25" borderId="0" xfId="0" applyFont="1" applyFill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49" fontId="69" fillId="5" borderId="47" xfId="0" applyNumberFormat="1" applyFont="1" applyFill="1" applyBorder="1" applyAlignment="1">
      <alignment horizontal="center" vertical="center"/>
    </xf>
    <xf numFmtId="49" fontId="69" fillId="5" borderId="48" xfId="0" applyNumberFormat="1" applyFont="1" applyFill="1" applyBorder="1" applyAlignment="1">
      <alignment horizontal="center" vertical="center"/>
    </xf>
    <xf numFmtId="172" fontId="69" fillId="5" borderId="49" xfId="0" applyNumberFormat="1" applyFont="1" applyFill="1" applyBorder="1" applyAlignment="1">
      <alignment horizontal="center" vertical="center"/>
    </xf>
    <xf numFmtId="172" fontId="69" fillId="5" borderId="0" xfId="0" applyNumberFormat="1" applyFont="1" applyFill="1" applyAlignment="1">
      <alignment horizontal="center" vertical="center"/>
    </xf>
    <xf numFmtId="173" fontId="69" fillId="5" borderId="47" xfId="0" applyNumberFormat="1" applyFont="1" applyFill="1" applyBorder="1" applyAlignment="1">
      <alignment horizontal="center" vertical="center"/>
    </xf>
    <xf numFmtId="173" fontId="69" fillId="5" borderId="48" xfId="0" applyNumberFormat="1" applyFont="1" applyFill="1" applyBorder="1" applyAlignment="1">
      <alignment horizontal="center" vertical="center"/>
    </xf>
    <xf numFmtId="165" fontId="69" fillId="5" borderId="34" xfId="0" applyNumberFormat="1" applyFont="1" applyFill="1" applyBorder="1" applyAlignment="1">
      <alignment horizontal="center" vertical="center"/>
    </xf>
    <xf numFmtId="165" fontId="69" fillId="5" borderId="0" xfId="0" applyNumberFormat="1" applyFont="1" applyFill="1" applyAlignment="1">
      <alignment horizontal="center" vertical="center"/>
    </xf>
    <xf numFmtId="0" fontId="20" fillId="28" borderId="34" xfId="0" applyFont="1" applyFill="1" applyBorder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70" fillId="4" borderId="0" xfId="0" applyFont="1" applyFill="1" applyAlignment="1">
      <alignment horizontal="center" vertical="center"/>
    </xf>
    <xf numFmtId="0" fontId="67" fillId="28" borderId="0" xfId="0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49" fontId="74" fillId="10" borderId="0" xfId="0" applyNumberFormat="1" applyFont="1" applyFill="1" applyAlignment="1">
      <alignment horizontal="center" vertical="center"/>
    </xf>
    <xf numFmtId="165" fontId="74" fillId="10" borderId="0" xfId="0" applyNumberFormat="1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47" fillId="6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174" fontId="74" fillId="10" borderId="0" xfId="0" applyNumberFormat="1" applyFont="1" applyFill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40" fillId="3" borderId="6" xfId="0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/>
    </xf>
    <xf numFmtId="0" fontId="16" fillId="3" borderId="11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center" vertical="center"/>
    </xf>
    <xf numFmtId="0" fontId="31" fillId="6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41" fillId="6" borderId="6" xfId="0" applyFont="1" applyFill="1" applyBorder="1" applyAlignment="1">
      <alignment horizontal="center" vertical="center"/>
    </xf>
    <xf numFmtId="0" fontId="41" fillId="6" borderId="7" xfId="0" applyFont="1" applyFill="1" applyBorder="1" applyAlignment="1">
      <alignment horizontal="center" vertical="center"/>
    </xf>
    <xf numFmtId="0" fontId="41" fillId="6" borderId="8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left" vertical="center"/>
    </xf>
    <xf numFmtId="0" fontId="16" fillId="3" borderId="24" xfId="0" applyFont="1" applyFill="1" applyBorder="1" applyAlignment="1">
      <alignment horizontal="left" vertical="center"/>
    </xf>
    <xf numFmtId="0" fontId="16" fillId="3" borderId="28" xfId="0" applyFont="1" applyFill="1" applyBorder="1" applyAlignment="1">
      <alignment horizontal="left" vertical="center"/>
    </xf>
    <xf numFmtId="0" fontId="16" fillId="3" borderId="25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/>
    </xf>
    <xf numFmtId="0" fontId="37" fillId="6" borderId="7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left" vertical="center"/>
    </xf>
    <xf numFmtId="0" fontId="19" fillId="3" borderId="24" xfId="0" applyFont="1" applyFill="1" applyBorder="1" applyAlignment="1">
      <alignment horizontal="left" vertical="center"/>
    </xf>
    <xf numFmtId="0" fontId="19" fillId="3" borderId="25" xfId="0" applyFont="1" applyFill="1" applyBorder="1" applyAlignment="1">
      <alignment horizontal="left" vertical="center"/>
    </xf>
    <xf numFmtId="0" fontId="27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27" xfId="0" applyFont="1" applyBorder="1" applyAlignment="1">
      <alignment vertical="center"/>
    </xf>
    <xf numFmtId="0" fontId="25" fillId="0" borderId="3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27" xfId="0" applyFont="1" applyBorder="1" applyAlignment="1">
      <alignment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0" fontId="19" fillId="3" borderId="5" xfId="0" applyFont="1" applyFill="1" applyBorder="1" applyAlignment="1">
      <alignment horizontal="left" vertical="center"/>
    </xf>
    <xf numFmtId="0" fontId="25" fillId="0" borderId="3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44" fillId="5" borderId="34" xfId="0" applyFont="1" applyFill="1" applyBorder="1" applyAlignment="1">
      <alignment vertical="center" wrapText="1"/>
    </xf>
    <xf numFmtId="0" fontId="44" fillId="5" borderId="0" xfId="0" applyFont="1" applyFill="1" applyAlignment="1">
      <alignment vertical="center" wrapText="1"/>
    </xf>
    <xf numFmtId="0" fontId="44" fillId="5" borderId="27" xfId="0" applyFont="1" applyFill="1" applyBorder="1" applyAlignment="1">
      <alignment vertical="center" wrapText="1"/>
    </xf>
    <xf numFmtId="0" fontId="62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46" fillId="2" borderId="3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left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13" xfId="0" applyFont="1" applyFill="1" applyBorder="1" applyAlignment="1">
      <alignment horizontal="left" vertical="center"/>
    </xf>
    <xf numFmtId="0" fontId="50" fillId="0" borderId="36" xfId="0" applyFont="1" applyBorder="1"/>
    <xf numFmtId="0" fontId="19" fillId="8" borderId="23" xfId="0" applyFont="1" applyFill="1" applyBorder="1" applyAlignment="1">
      <alignment horizontal="left" vertical="center"/>
    </xf>
    <xf numFmtId="0" fontId="19" fillId="8" borderId="25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47" fillId="6" borderId="20" xfId="0" applyFont="1" applyFill="1" applyBorder="1" applyAlignment="1">
      <alignment horizontal="center" vertical="center"/>
    </xf>
    <xf numFmtId="0" fontId="47" fillId="6" borderId="21" xfId="0" applyFont="1" applyFill="1" applyBorder="1" applyAlignment="1">
      <alignment horizontal="center" vertical="center"/>
    </xf>
    <xf numFmtId="0" fontId="47" fillId="6" borderId="22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9" xfId="0" applyFont="1" applyFill="1" applyBorder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0" fontId="23" fillId="3" borderId="10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0" fontId="49" fillId="10" borderId="1" xfId="0" applyFont="1" applyFill="1" applyBorder="1"/>
    <xf numFmtId="0" fontId="47" fillId="6" borderId="6" xfId="0" applyFont="1" applyFill="1" applyBorder="1" applyAlignment="1">
      <alignment horizontal="center" vertical="center"/>
    </xf>
    <xf numFmtId="0" fontId="47" fillId="6" borderId="7" xfId="0" applyFont="1" applyFill="1" applyBorder="1" applyAlignment="1">
      <alignment horizontal="center" vertical="center"/>
    </xf>
    <xf numFmtId="0" fontId="47" fillId="6" borderId="8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left"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left" vertical="center"/>
    </xf>
    <xf numFmtId="0" fontId="19" fillId="3" borderId="12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47" fillId="10" borderId="0" xfId="0" applyFont="1" applyFill="1" applyAlignment="1">
      <alignment horizontal="left" vertical="center"/>
    </xf>
    <xf numFmtId="0" fontId="47" fillId="10" borderId="27" xfId="0" applyFont="1" applyFill="1" applyBorder="1" applyAlignment="1">
      <alignment horizontal="left" vertical="center"/>
    </xf>
    <xf numFmtId="0" fontId="47" fillId="10" borderId="7" xfId="0" applyFont="1" applyFill="1" applyBorder="1" applyAlignment="1">
      <alignment horizontal="left" vertical="center"/>
    </xf>
    <xf numFmtId="0" fontId="47" fillId="10" borderId="8" xfId="0" applyFont="1" applyFill="1" applyBorder="1" applyAlignment="1">
      <alignment horizontal="left" vertical="center"/>
    </xf>
    <xf numFmtId="0" fontId="60" fillId="20" borderId="46" xfId="2" applyFont="1" applyFill="1" applyBorder="1" applyAlignment="1">
      <alignment horizontal="center"/>
    </xf>
    <xf numFmtId="0" fontId="60" fillId="20" borderId="0" xfId="2" applyFont="1" applyFill="1" applyAlignment="1">
      <alignment horizontal="center"/>
    </xf>
    <xf numFmtId="0" fontId="19" fillId="13" borderId="9" xfId="0" applyFont="1" applyFill="1" applyBorder="1" applyAlignment="1">
      <alignment horizontal="left" vertical="center"/>
    </xf>
    <xf numFmtId="0" fontId="19" fillId="13" borderId="10" xfId="0" applyFont="1" applyFill="1" applyBorder="1" applyAlignment="1">
      <alignment horizontal="left" vertical="center"/>
    </xf>
    <xf numFmtId="0" fontId="19" fillId="13" borderId="11" xfId="0" applyFont="1" applyFill="1" applyBorder="1" applyAlignment="1">
      <alignment horizontal="left" vertical="center"/>
    </xf>
    <xf numFmtId="0" fontId="27" fillId="10" borderId="41" xfId="0" applyFont="1" applyFill="1" applyBorder="1" applyAlignment="1">
      <alignment horizontal="right" vertical="center"/>
    </xf>
    <xf numFmtId="0" fontId="27" fillId="10" borderId="42" xfId="0" applyFont="1" applyFill="1" applyBorder="1" applyAlignment="1">
      <alignment horizontal="right" vertical="center"/>
    </xf>
    <xf numFmtId="0" fontId="27" fillId="10" borderId="34" xfId="0" applyFont="1" applyFill="1" applyBorder="1" applyAlignment="1">
      <alignment horizontal="right" vertical="center"/>
    </xf>
    <xf numFmtId="0" fontId="27" fillId="10" borderId="43" xfId="0" applyFont="1" applyFill="1" applyBorder="1" applyAlignment="1">
      <alignment horizontal="right" vertical="center"/>
    </xf>
    <xf numFmtId="0" fontId="24" fillId="9" borderId="35" xfId="0" applyFont="1" applyFill="1" applyBorder="1" applyAlignment="1">
      <alignment horizontal="right" vertical="center"/>
    </xf>
    <xf numFmtId="0" fontId="24" fillId="9" borderId="44" xfId="0" applyFont="1" applyFill="1" applyBorder="1" applyAlignment="1">
      <alignment horizontal="right" vertical="center"/>
    </xf>
    <xf numFmtId="0" fontId="47" fillId="10" borderId="2" xfId="0" applyFont="1" applyFill="1" applyBorder="1" applyAlignment="1">
      <alignment horizontal="left" vertical="center"/>
    </xf>
    <xf numFmtId="0" fontId="47" fillId="10" borderId="39" xfId="0" applyFont="1" applyFill="1" applyBorder="1" applyAlignment="1">
      <alignment horizontal="left" vertical="center"/>
    </xf>
    <xf numFmtId="0" fontId="47" fillId="10" borderId="19" xfId="0" applyFont="1" applyFill="1" applyBorder="1" applyAlignment="1">
      <alignment horizontal="left" vertical="center"/>
    </xf>
    <xf numFmtId="0" fontId="47" fillId="10" borderId="4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49" fontId="10" fillId="10" borderId="2" xfId="0" applyNumberFormat="1" applyFont="1" applyFill="1" applyBorder="1" applyAlignment="1">
      <alignment horizontal="right" vertical="center"/>
    </xf>
    <xf numFmtId="165" fontId="10" fillId="10" borderId="2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168" fontId="10" fillId="10" borderId="2" xfId="0" applyNumberFormat="1" applyFont="1" applyFill="1" applyBorder="1" applyAlignment="1">
      <alignment horizontal="right" vertical="center"/>
    </xf>
    <xf numFmtId="164" fontId="10" fillId="10" borderId="2" xfId="0" applyNumberFormat="1" applyFont="1" applyFill="1" applyBorder="1" applyAlignment="1">
      <alignment horizontal="right" vertical="center"/>
    </xf>
    <xf numFmtId="169" fontId="10" fillId="10" borderId="2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left" vertical="center"/>
    </xf>
    <xf numFmtId="0" fontId="11" fillId="13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right" vertical="center"/>
    </xf>
    <xf numFmtId="167" fontId="10" fillId="10" borderId="2" xfId="0" applyNumberFormat="1" applyFont="1" applyFill="1" applyBorder="1" applyAlignment="1">
      <alignment horizontal="right" vertical="center"/>
    </xf>
  </cellXfs>
  <cellStyles count="4">
    <cellStyle name="Hyperlink" xfId="3" builtinId="8"/>
    <cellStyle name="Normal" xfId="0" builtinId="0"/>
    <cellStyle name="Normal 2" xfId="2" xr:uid="{44AAE4F0-DCF7-4160-88A4-2A24F856E8C6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2E75B6"/>
      <rgbColor rgb="FFBFBFBF"/>
      <rgbColor rgb="FF4F81BD"/>
      <rgbColor rgb="FF9999FF"/>
      <rgbColor rgb="FF7030A0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F99CC"/>
      <rgbColor rgb="FFCC99FF"/>
      <rgbColor rgb="FFFCE4D6"/>
      <rgbColor rgb="FF4472C4"/>
      <rgbColor rgb="FF1ABC9C"/>
      <rgbColor rgb="FF99CC00"/>
      <rgbColor rgb="FFFFC000"/>
      <rgbColor rgb="FFFF9900"/>
      <rgbColor rgb="FFED7D31"/>
      <rgbColor rgb="FF595959"/>
      <rgbColor rgb="FFB3B3B3"/>
      <rgbColor rgb="FF1F3864"/>
      <rgbColor rgb="FF70AD47"/>
      <rgbColor rgb="FF003300"/>
      <rgbColor rgb="FF375623"/>
      <rgbColor rgb="FF993300"/>
      <rgbColor rgb="FF9933FF"/>
      <rgbColor rgb="FF2E5DA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Revenue vs Total Cost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Dashboard!$BT$5</c:f>
              <c:strCache>
                <c:ptCount val="1"/>
                <c:pt idx="0">
                  <c:v>Gross Revenue</c:v>
                </c:pt>
              </c:strCache>
            </c:strRef>
          </c:tx>
          <c:spPr>
            <a:ln w="28080">
              <a:solidFill>
                <a:srgbClr val="2E5DA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Dashboard!$BU$5:$BY$5</c:f>
              <c:numCache>
                <c:formatCode>\₹#,##0;"(₹"#,##0\);\-</c:formatCode>
                <c:ptCount val="5"/>
                <c:pt idx="0">
                  <c:v>11196000</c:v>
                </c:pt>
                <c:pt idx="1">
                  <c:v>11755800</c:v>
                </c:pt>
                <c:pt idx="2">
                  <c:v>12343590</c:v>
                </c:pt>
                <c:pt idx="3">
                  <c:v>12960769.5</c:v>
                </c:pt>
                <c:pt idx="4">
                  <c:v>13608807.975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5A-44A8-89B0-F7190A43406B}"/>
            </c:ext>
          </c:extLst>
        </c:ser>
        <c:ser>
          <c:idx val="1"/>
          <c:order val="1"/>
          <c:tx>
            <c:strRef>
              <c:f>Dashboard!$BT$6</c:f>
              <c:strCache>
                <c:ptCount val="1"/>
                <c:pt idx="0">
                  <c:v>Net Revenue</c:v>
                </c:pt>
              </c:strCache>
            </c:strRef>
          </c:tx>
          <c:spPr>
            <a:ln w="28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Dashboard!$BU$6:$BY$6</c:f>
              <c:numCache>
                <c:formatCode>\₹#,##0;"(₹"#,##0\);\-</c:formatCode>
                <c:ptCount val="5"/>
                <c:pt idx="0">
                  <c:v>10636200</c:v>
                </c:pt>
                <c:pt idx="1">
                  <c:v>11168010</c:v>
                </c:pt>
                <c:pt idx="2">
                  <c:v>11726410.5</c:v>
                </c:pt>
                <c:pt idx="3">
                  <c:v>12312731.025</c:v>
                </c:pt>
                <c:pt idx="4">
                  <c:v>12928367.57625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5A-44A8-89B0-F7190A43406B}"/>
            </c:ext>
          </c:extLst>
        </c:ser>
        <c:ser>
          <c:idx val="2"/>
          <c:order val="2"/>
          <c:tx>
            <c:strRef>
              <c:f>Dashboard!$BT$7</c:f>
              <c:strCache>
                <c:ptCount val="1"/>
                <c:pt idx="0">
                  <c:v>Total Cost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Dashboard!$BU$7:$BY$7</c:f>
              <c:numCache>
                <c:formatCode>\₹#,##0;"(₹"#,##0\);\-</c:formatCode>
                <c:ptCount val="5"/>
                <c:pt idx="0">
                  <c:v>13596639.374518419</c:v>
                </c:pt>
                <c:pt idx="1">
                  <c:v>13828239.374518419</c:v>
                </c:pt>
                <c:pt idx="2">
                  <c:v>14071419.374518419</c:v>
                </c:pt>
                <c:pt idx="3">
                  <c:v>14326758.374518419</c:v>
                </c:pt>
                <c:pt idx="4">
                  <c:v>14594864.32451842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05A-44A8-89B0-F7190A43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546234"/>
        <c:axId val="95415903"/>
      </c:lineChart>
      <c:catAx>
        <c:axId val="86546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5415903"/>
        <c:crosses val="autoZero"/>
        <c:auto val="1"/>
        <c:lblAlgn val="ctr"/>
        <c:lblOffset val="100"/>
        <c:noMultiLvlLbl val="0"/>
      </c:catAx>
      <c:valAx>
        <c:axId val="954159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₹ Annual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462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Profitability — EBITDA · PBT · PAT (5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Dashboard!$BT$8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Dashboard!$BU$8:$BY$8</c:f>
              <c:numCache>
                <c:formatCode>\₹#,##0;"(₹"#,##0\);\-</c:formatCode>
                <c:ptCount val="5"/>
                <c:pt idx="0">
                  <c:v>-2960439.3745184187</c:v>
                </c:pt>
                <c:pt idx="1">
                  <c:v>-2660229.3745184187</c:v>
                </c:pt>
                <c:pt idx="2">
                  <c:v>-2345008.8745184187</c:v>
                </c:pt>
                <c:pt idx="3">
                  <c:v>-2014027.3495184183</c:v>
                </c:pt>
                <c:pt idx="4">
                  <c:v>-1666496.7482684199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0-4276-BD8C-0C43E7F42508}"/>
            </c:ext>
          </c:extLst>
        </c:ser>
        <c:ser>
          <c:idx val="1"/>
          <c:order val="1"/>
          <c:tx>
            <c:strRef>
              <c:f>Dashboard!$BT$9</c:f>
              <c:strCache>
                <c:ptCount val="1"/>
                <c:pt idx="0">
                  <c:v>PBT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Dashboard!$BU$9:$BY$9</c:f>
              <c:numCache>
                <c:formatCode>\₹#,##0;"(₹"#,##0\);\-</c:formatCode>
                <c:ptCount val="5"/>
                <c:pt idx="0">
                  <c:v>-9919939.3745184187</c:v>
                </c:pt>
                <c:pt idx="1">
                  <c:v>-8675625.8030898478</c:v>
                </c:pt>
                <c:pt idx="2">
                  <c:v>-7463254.481661276</c:v>
                </c:pt>
                <c:pt idx="3">
                  <c:v>-6269180.477732704</c:v>
                </c:pt>
                <c:pt idx="4">
                  <c:v>-5083456.4870291343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0-4276-BD8C-0C43E7F42508}"/>
            </c:ext>
          </c:extLst>
        </c:ser>
        <c:ser>
          <c:idx val="2"/>
          <c:order val="2"/>
          <c:tx>
            <c:strRef>
              <c:f>Dashboard!$BT$10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Dashboard!$BU$4:$BY$4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Dashboard!$BU$10:$BY$10</c:f>
              <c:numCache>
                <c:formatCode>\₹#,##0;"(₹"#,##0\);\-</c:formatCode>
                <c:ptCount val="5"/>
                <c:pt idx="0">
                  <c:v>-9919939.3745184187</c:v>
                </c:pt>
                <c:pt idx="1">
                  <c:v>-8675625.8030898478</c:v>
                </c:pt>
                <c:pt idx="2">
                  <c:v>-7463254.481661276</c:v>
                </c:pt>
                <c:pt idx="3">
                  <c:v>-6269180.477732704</c:v>
                </c:pt>
                <c:pt idx="4">
                  <c:v>-5083456.4870291343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0-4276-BD8C-0C43E7F42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5981"/>
        <c:axId val="34082667"/>
      </c:barChart>
      <c:catAx>
        <c:axId val="132459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4082667"/>
        <c:crosses val="autoZero"/>
        <c:auto val="1"/>
        <c:lblAlgn val="ctr"/>
        <c:lblOffset val="100"/>
        <c:noMultiLvlLbl val="0"/>
      </c:catAx>
      <c:valAx>
        <c:axId val="340826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₹ Annual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13245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Annual Cash Flow — Net &amp; Cumulative (Year 1 includes CAPEX)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Dashboard!$BT$14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rgbClr val="7030A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Dashboard!$BU$13:$BY$13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Dashboard!$BU$14:$BY$14</c:f>
              <c:numCache>
                <c:formatCode>\₹#,##0;"(₹"#,##0\);\-</c:formatCode>
                <c:ptCount val="5"/>
                <c:pt idx="0">
                  <c:v>-34242639.374518454</c:v>
                </c:pt>
                <c:pt idx="1">
                  <c:v>-2960439.3745184187</c:v>
                </c:pt>
                <c:pt idx="2">
                  <c:v>-2660229.3745184187</c:v>
                </c:pt>
                <c:pt idx="3">
                  <c:v>-2345008.8745184187</c:v>
                </c:pt>
                <c:pt idx="4">
                  <c:v>-2014027.3495184183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9-4D94-A0B3-E9F44458AA56}"/>
            </c:ext>
          </c:extLst>
        </c:ser>
        <c:ser>
          <c:idx val="1"/>
          <c:order val="1"/>
          <c:tx>
            <c:strRef>
              <c:f>Dashboard!$BT$15</c:f>
              <c:strCache>
                <c:ptCount val="1"/>
                <c:pt idx="0">
                  <c:v>Cumulative CF</c:v>
                </c:pt>
              </c:strCache>
            </c:strRef>
          </c:tx>
          <c:spPr>
            <a:solidFill>
              <a:srgbClr val="2E5D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Dashboard!$BU$13:$BY$13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Dashboard!$BU$15:$BY$15</c:f>
              <c:numCache>
                <c:formatCode>\₹#,##0;"(₹"#,##0\);\-</c:formatCode>
                <c:ptCount val="5"/>
                <c:pt idx="0">
                  <c:v>-34242639.374518454</c:v>
                </c:pt>
                <c:pt idx="1">
                  <c:v>-37203078.749036871</c:v>
                </c:pt>
                <c:pt idx="2">
                  <c:v>-39863308.123555288</c:v>
                </c:pt>
                <c:pt idx="3">
                  <c:v>-42208316.998073705</c:v>
                </c:pt>
                <c:pt idx="4">
                  <c:v>-44222344.347592123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9-4D94-A0B3-E9F44458A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81071"/>
        <c:axId val="36531460"/>
      </c:barChart>
      <c:catAx>
        <c:axId val="30581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6531460"/>
        <c:crosses val="autoZero"/>
        <c:auto val="1"/>
        <c:lblAlgn val="ctr"/>
        <c:lblOffset val="100"/>
        <c:noMultiLvlLbl val="0"/>
      </c:catAx>
      <c:valAx>
        <c:axId val="365314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05810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Occupancy % vs Monthly EBITDA — Break-Even Visualization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Dashboard!$BT$19</c:f>
              <c:strCache>
                <c:ptCount val="1"/>
                <c:pt idx="0">
                  <c:v>Monthly EBITDA</c:v>
                </c:pt>
              </c:strCache>
            </c:strRef>
          </c:tx>
          <c:spPr>
            <a:ln w="2808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Dashboard!$BU$18:$CC$18</c:f>
              <c:strCache>
                <c:ptCount val="9"/>
                <c:pt idx="0">
                  <c:v>20%</c:v>
                </c:pt>
                <c:pt idx="1">
                  <c:v>30%</c:v>
                </c:pt>
                <c:pt idx="2">
                  <c:v>40%</c:v>
                </c:pt>
                <c:pt idx="3">
                  <c:v>50%</c:v>
                </c:pt>
                <c:pt idx="4">
                  <c:v>60%</c:v>
                </c:pt>
                <c:pt idx="5">
                  <c:v>70%</c:v>
                </c:pt>
                <c:pt idx="6">
                  <c:v>80%</c:v>
                </c:pt>
                <c:pt idx="7">
                  <c:v>90%</c:v>
                </c:pt>
                <c:pt idx="8">
                  <c:v>100%</c:v>
                </c:pt>
              </c:strCache>
            </c:strRef>
          </c:cat>
          <c:val>
            <c:numRef>
              <c:f>Dashboard!$BU$19:$CC$19</c:f>
              <c:numCache>
                <c:formatCode>\₹#,##0;"(₹"#,##0\);\-</c:formatCode>
                <c:ptCount val="9"/>
                <c:pt idx="0">
                  <c:v>-629803.28120986838</c:v>
                </c:pt>
                <c:pt idx="1">
                  <c:v>-554428.28120986838</c:v>
                </c:pt>
                <c:pt idx="2">
                  <c:v>-486553.28120986838</c:v>
                </c:pt>
                <c:pt idx="3">
                  <c:v>-411178.28120986838</c:v>
                </c:pt>
                <c:pt idx="4">
                  <c:v>-343303.28120986838</c:v>
                </c:pt>
                <c:pt idx="5">
                  <c:v>-267928.28120986838</c:v>
                </c:pt>
                <c:pt idx="6">
                  <c:v>-200053.28120986838</c:v>
                </c:pt>
                <c:pt idx="7">
                  <c:v>-124678.28120986838</c:v>
                </c:pt>
                <c:pt idx="8">
                  <c:v>-56803.281209868379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F3-4A0B-9B7B-E22D914D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325023"/>
        <c:axId val="66945248"/>
      </c:lineChart>
      <c:catAx>
        <c:axId val="99325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6945248"/>
        <c:crosses val="autoZero"/>
        <c:auto val="1"/>
        <c:lblAlgn val="ctr"/>
        <c:lblOffset val="100"/>
        <c:noMultiLvlLbl val="0"/>
      </c:catAx>
      <c:valAx>
        <c:axId val="66945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Monthly EBITDA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325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Owned vs Rent — Key Financial Comparison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Dashboard!$BT$23</c:f>
              <c:strCache>
                <c:ptCount val="1"/>
                <c:pt idx="0">
                  <c:v>Owned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Dashboard!$BU$22:$BW$22</c:f>
              <c:strCache>
                <c:ptCount val="3"/>
                <c:pt idx="0">
                  <c:v>Ann. EBITDA</c:v>
                </c:pt>
                <c:pt idx="1">
                  <c:v>Ann. PAT</c:v>
                </c:pt>
                <c:pt idx="2">
                  <c:v>Ann. Cost</c:v>
                </c:pt>
              </c:strCache>
            </c:strRef>
          </c:cat>
          <c:val>
            <c:numRef>
              <c:f>Dashboard!$BU$23:$BW$23</c:f>
              <c:numCache>
                <c:formatCode>\₹0.00" Cr"</c:formatCode>
                <c:ptCount val="3"/>
                <c:pt idx="0">
                  <c:v>-0.29604393745184188</c:v>
                </c:pt>
                <c:pt idx="1">
                  <c:v>-0.99199393745184183</c:v>
                </c:pt>
                <c:pt idx="2">
                  <c:v>1.359663937451842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E-4A59-B830-1D1EF0DB039A}"/>
            </c:ext>
          </c:extLst>
        </c:ser>
        <c:ser>
          <c:idx val="1"/>
          <c:order val="1"/>
          <c:tx>
            <c:strRef>
              <c:f>Dashboard!$BT$24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Dashboard!$BU$22:$BW$22</c:f>
              <c:strCache>
                <c:ptCount val="3"/>
                <c:pt idx="0">
                  <c:v>Ann. EBITDA</c:v>
                </c:pt>
                <c:pt idx="1">
                  <c:v>Ann. PAT</c:v>
                </c:pt>
                <c:pt idx="2">
                  <c:v>Ann. Cost</c:v>
                </c:pt>
              </c:strCache>
            </c:strRef>
          </c:cat>
          <c:val>
            <c:numRef>
              <c:f>Dashboard!$BU$24:$BW$24</c:f>
              <c:numCache>
                <c:formatCode>\₹0.00" Cr"</c:formatCode>
                <c:ptCount val="3"/>
                <c:pt idx="0">
                  <c:v>0.21042</c:v>
                </c:pt>
                <c:pt idx="1">
                  <c:v>-4.7230000000000001E-2</c:v>
                </c:pt>
                <c:pt idx="2">
                  <c:v>0.85319999999999996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E-4A59-B830-1D1EF0DB0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59319"/>
        <c:axId val="26132322"/>
      </c:barChart>
      <c:catAx>
        <c:axId val="51359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6132322"/>
        <c:crosses val="autoZero"/>
        <c:auto val="1"/>
        <c:lblAlgn val="ctr"/>
        <c:lblOffset val="100"/>
        <c:noMultiLvlLbl val="0"/>
      </c:catAx>
      <c:valAx>
        <c:axId val="261323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0.00&quot; Cr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513593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Annual Cost Structure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Dashboard!$BT$28</c:f>
              <c:strCache>
                <c:ptCount val="1"/>
                <c:pt idx="0">
                  <c:v>Annual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90-4417-A5F4-194E09FE9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90-4417-A5F4-194E09FE99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90-4417-A5F4-194E09FE99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990-4417-A5F4-194E09FE99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990-4417-A5F4-194E09FE9983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90-4417-A5F4-194E09FE9983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90-4417-A5F4-194E09FE9983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90-4417-A5F4-194E09FE9983}"/>
                </c:ext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90-4417-A5F4-194E09FE9983}"/>
                </c:ext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90-4417-A5F4-194E09FE998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Dashboard!$BU$27:$BY$27</c:f>
              <c:strCache>
                <c:ptCount val="5"/>
                <c:pt idx="0">
                  <c:v>EMI/Rent</c:v>
                </c:pt>
                <c:pt idx="1">
                  <c:v>Salaries</c:v>
                </c:pt>
                <c:pt idx="2">
                  <c:v>Utilities</c:v>
                </c:pt>
                <c:pt idx="3">
                  <c:v>Mktg &amp; Admin</c:v>
                </c:pt>
                <c:pt idx="4">
                  <c:v>Variable</c:v>
                </c:pt>
              </c:strCache>
            </c:strRef>
          </c:cat>
          <c:val>
            <c:numRef>
              <c:f>Dashboard!$BU$28:$BY$28</c:f>
              <c:numCache>
                <c:formatCode>\₹#,##0;"(₹"#,##0\);\-</c:formatCode>
                <c:ptCount val="5"/>
                <c:pt idx="0">
                  <c:v>8964639.3745184187</c:v>
                </c:pt>
                <c:pt idx="1">
                  <c:v>2388000</c:v>
                </c:pt>
                <c:pt idx="2">
                  <c:v>936000</c:v>
                </c:pt>
                <c:pt idx="3">
                  <c:v>444000</c:v>
                </c:pt>
                <c:pt idx="4">
                  <c:v>864000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90-4417-A5F4-194E09FE998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Revenue Growth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Dashboard!$CB$5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Dashboard!$CC$3:$CG$4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Dashboard!$CC$5:$CG$5</c:f>
              <c:numCache>
                <c:formatCode>General</c:formatCode>
                <c:ptCount val="5"/>
                <c:pt idx="0">
                  <c:v>11196000</c:v>
                </c:pt>
                <c:pt idx="1">
                  <c:v>11755800</c:v>
                </c:pt>
                <c:pt idx="2">
                  <c:v>12343590</c:v>
                </c:pt>
                <c:pt idx="3">
                  <c:v>12960769.5</c:v>
                </c:pt>
                <c:pt idx="4">
                  <c:v>13608807.975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A-49DE-B7C8-8028337754FD}"/>
            </c:ext>
          </c:extLst>
        </c:ser>
        <c:ser>
          <c:idx val="1"/>
          <c:order val="1"/>
          <c:tx>
            <c:strRef>
              <c:f>Dashboard!$CB$6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Dashboard!$CC$3:$CG$4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Dashboard!$CC$6:$CG$6</c:f>
              <c:numCache>
                <c:formatCode>General</c:formatCode>
                <c:ptCount val="5"/>
                <c:pt idx="0">
                  <c:v>10636200</c:v>
                </c:pt>
                <c:pt idx="1">
                  <c:v>11168010</c:v>
                </c:pt>
                <c:pt idx="2">
                  <c:v>11726410.5</c:v>
                </c:pt>
                <c:pt idx="3">
                  <c:v>12312731.025</c:v>
                </c:pt>
                <c:pt idx="4">
                  <c:v>12928367.57625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A-49DE-B7C8-80283377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554047"/>
        <c:axId val="1432547807"/>
      </c:barChart>
      <c:catAx>
        <c:axId val="1432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2547807"/>
        <c:crosses val="autoZero"/>
        <c:auto val="1"/>
        <c:lblAlgn val="ctr"/>
        <c:lblOffset val="100"/>
        <c:noMultiLvlLbl val="0"/>
      </c:catAx>
      <c:valAx>
        <c:axId val="143254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2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Fixed vs Variable Cost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Dashboard!$CB$23</c:f>
              <c:strCache>
                <c:ptCount val="1"/>
                <c:pt idx="0">
                  <c:v>Fised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Dashboard!$CC$21:$CG$22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Dashboard!$CC$23:$CG$23</c:f>
              <c:numCache>
                <c:formatCode>General</c:formatCode>
                <c:ptCount val="5"/>
                <c:pt idx="0">
                  <c:v>12732639.374518419</c:v>
                </c:pt>
                <c:pt idx="1">
                  <c:v>12921039.374518419</c:v>
                </c:pt>
                <c:pt idx="2">
                  <c:v>13118859.374518419</c:v>
                </c:pt>
                <c:pt idx="3">
                  <c:v>13326570.374518419</c:v>
                </c:pt>
                <c:pt idx="4">
                  <c:v>13544666.924518419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5-4F48-95A4-C32EDA0F8D30}"/>
            </c:ext>
          </c:extLst>
        </c:ser>
        <c:ser>
          <c:idx val="1"/>
          <c:order val="1"/>
          <c:tx>
            <c:strRef>
              <c:f>Dashboard!$CB$24</c:f>
              <c:strCache>
                <c:ptCount val="1"/>
                <c:pt idx="0">
                  <c:v>Variable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Dashboard!$CC$21:$CG$22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Dashboard!$CC$24:$CG$24</c:f>
              <c:numCache>
                <c:formatCode>General</c:formatCode>
                <c:ptCount val="5"/>
                <c:pt idx="0">
                  <c:v>864000</c:v>
                </c:pt>
                <c:pt idx="1">
                  <c:v>907200</c:v>
                </c:pt>
                <c:pt idx="2">
                  <c:v>952560</c:v>
                </c:pt>
                <c:pt idx="3">
                  <c:v>1000188.0000000001</c:v>
                </c:pt>
                <c:pt idx="4">
                  <c:v>1050197.3999999999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5-4F48-95A4-C32EDA0F8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9990639"/>
        <c:axId val="1579991599"/>
      </c:barChart>
      <c:catAx>
        <c:axId val="157999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991599"/>
        <c:crosses val="autoZero"/>
        <c:auto val="1"/>
        <c:lblAlgn val="ctr"/>
        <c:lblOffset val="100"/>
        <c:noMultiLvlLbl val="0"/>
      </c:catAx>
      <c:valAx>
        <c:axId val="15799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99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b="1"/>
              <a:t>Break-even Analysis Chart</a:t>
            </a:r>
          </a:p>
        </c:rich>
      </c:tx>
      <c:layout>
        <c:manualLayout>
          <c:xMode val="edge"/>
          <c:yMode val="edge"/>
          <c:x val="0.36667898443773295"/>
          <c:y val="2.5744721825239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Dashboard!$CE$9</c:f>
              <c:strCache>
                <c:ptCount val="1"/>
                <c:pt idx="0">
                  <c:v>Price per Seat per month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Dashboard!$CF$10:$CF$19</c:f>
              <c:numCache>
                <c:formatCode>General</c:formatCode>
                <c:ptCount val="10"/>
                <c:pt idx="0">
                  <c:v>259</c:v>
                </c:pt>
                <c:pt idx="1">
                  <c:v>209</c:v>
                </c:pt>
                <c:pt idx="2">
                  <c:v>161</c:v>
                </c:pt>
                <c:pt idx="3">
                  <c:v>131</c:v>
                </c:pt>
                <c:pt idx="4">
                  <c:v>117</c:v>
                </c:pt>
                <c:pt idx="5">
                  <c:v>96</c:v>
                </c:pt>
                <c:pt idx="6">
                  <c:v>76</c:v>
                </c:pt>
                <c:pt idx="7">
                  <c:v>63</c:v>
                </c:pt>
                <c:pt idx="8">
                  <c:v>56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A-4563-8FE1-DDF6D4D073F8}"/>
            </c:ext>
          </c:extLst>
        </c:ser>
        <c:ser>
          <c:idx val="1"/>
          <c:order val="1"/>
          <c:tx>
            <c:strRef>
              <c:f>Dashboard!$CF$9</c:f>
              <c:strCache>
                <c:ptCount val="1"/>
                <c:pt idx="0">
                  <c:v>BEP Seats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Dashboard!$CG$10:$CG$19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A-4563-8FE1-DDF6D4D0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540127"/>
        <c:axId val="1432540607"/>
      </c:lineChart>
      <c:catAx>
        <c:axId val="14325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2540607"/>
        <c:crosses val="autoZero"/>
        <c:auto val="1"/>
        <c:lblAlgn val="ctr"/>
        <c:lblOffset val="100"/>
        <c:noMultiLvlLbl val="0"/>
      </c:catAx>
      <c:valAx>
        <c:axId val="14325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25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Revenue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AA-4209-85CD-4AB3C94557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AA-4209-85CD-4AB3C94557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AA-4209-85CD-4AB3C94557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AA-4209-85CD-4AB3C94557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AA-4209-85CD-4AB3C94557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9AA-4209-85CD-4AB3C94557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9AA-4209-85CD-4AB3C94557C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Dashboard!$CA$9:$CA$15</c:f>
              <c:strCache>
                <c:ptCount val="7"/>
                <c:pt idx="0">
                  <c:v>Hot Desks</c:v>
                </c:pt>
                <c:pt idx="1">
                  <c:v>Dedicated Desks</c:v>
                </c:pt>
                <c:pt idx="2">
                  <c:v>Private Cabins</c:v>
                </c:pt>
                <c:pt idx="3">
                  <c:v>Meeting Rooms</c:v>
                </c:pt>
                <c:pt idx="4">
                  <c:v>Virtual Office Memberships</c:v>
                </c:pt>
                <c:pt idx="5">
                  <c:v>Events &amp; Workshops</c:v>
                </c:pt>
                <c:pt idx="6">
                  <c:v>Workation Packages</c:v>
                </c:pt>
              </c:strCache>
            </c:strRef>
          </c:cat>
          <c:val>
            <c:numRef>
              <c:f>Dashboard!$CB$9:$CB$15</c:f>
              <c:numCache>
                <c:formatCode>General</c:formatCode>
                <c:ptCount val="7"/>
                <c:pt idx="0">
                  <c:v>3240000</c:v>
                </c:pt>
                <c:pt idx="1">
                  <c:v>2484000</c:v>
                </c:pt>
                <c:pt idx="2">
                  <c:v>2016000</c:v>
                </c:pt>
                <c:pt idx="3">
                  <c:v>864000</c:v>
                </c:pt>
                <c:pt idx="4">
                  <c:v>720000</c:v>
                </c:pt>
                <c:pt idx="5">
                  <c:v>720000</c:v>
                </c:pt>
                <c:pt idx="6">
                  <c:v>1152000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0-49D2-B87F-BDD588D97C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Revenue Growth Chart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'P&amp;L'!$B$77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'P&amp;L'!$C$75:$G$76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'P&amp;L'!$C$77:$G$77</c:f>
              <c:numCache>
                <c:formatCode>\₹#,##0;"(₹"#,##0\);\-</c:formatCode>
                <c:ptCount val="5"/>
                <c:pt idx="0">
                  <c:v>11196000</c:v>
                </c:pt>
                <c:pt idx="1">
                  <c:v>11755800</c:v>
                </c:pt>
                <c:pt idx="2">
                  <c:v>12343590</c:v>
                </c:pt>
                <c:pt idx="3">
                  <c:v>12960769.5</c:v>
                </c:pt>
                <c:pt idx="4">
                  <c:v>13608807.975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E-4668-9D04-FC7E786127E0}"/>
            </c:ext>
          </c:extLst>
        </c:ser>
        <c:ser>
          <c:idx val="1"/>
          <c:order val="1"/>
          <c:tx>
            <c:strRef>
              <c:f>'P&amp;L'!$B$78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'P&amp;L'!$C$75:$G$76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'P&amp;L'!$C$78:$G$78</c:f>
              <c:numCache>
                <c:formatCode>\₹#,##0;"(₹"#,##0\);\-</c:formatCode>
                <c:ptCount val="5"/>
                <c:pt idx="0">
                  <c:v>10636200</c:v>
                </c:pt>
                <c:pt idx="1">
                  <c:v>11168010</c:v>
                </c:pt>
                <c:pt idx="2">
                  <c:v>11726410.5</c:v>
                </c:pt>
                <c:pt idx="3">
                  <c:v>12312731.025</c:v>
                </c:pt>
                <c:pt idx="4">
                  <c:v>12928367.57625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E-4668-9D04-FC7E78612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728639"/>
        <c:axId val="1303729119"/>
      </c:barChart>
      <c:catAx>
        <c:axId val="13037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29119"/>
        <c:crosses val="autoZero"/>
        <c:auto val="1"/>
        <c:lblAlgn val="ctr"/>
        <c:lblOffset val="100"/>
        <c:noMultiLvlLbl val="0"/>
      </c:catAx>
      <c:valAx>
        <c:axId val="13037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2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Fixed vs Variable Cost Table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'P&amp;L'!$B$98</c:f>
              <c:strCache>
                <c:ptCount val="1"/>
                <c:pt idx="0">
                  <c:v>Fised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'P&amp;L'!$C$96:$G$97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'P&amp;L'!$C$98:$G$98</c:f>
              <c:numCache>
                <c:formatCode>\₹#,##0;"(₹"#,##0\);\-</c:formatCode>
                <c:ptCount val="5"/>
                <c:pt idx="0">
                  <c:v>12732639.374518419</c:v>
                </c:pt>
                <c:pt idx="1">
                  <c:v>12921039.374518419</c:v>
                </c:pt>
                <c:pt idx="2">
                  <c:v>13118859.374518419</c:v>
                </c:pt>
                <c:pt idx="3">
                  <c:v>13326570.374518419</c:v>
                </c:pt>
                <c:pt idx="4">
                  <c:v>13544666.924518419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C-4E25-A08B-01E6E2F77AF5}"/>
            </c:ext>
          </c:extLst>
        </c:ser>
        <c:ser>
          <c:idx val="1"/>
          <c:order val="1"/>
          <c:tx>
            <c:strRef>
              <c:f>'P&amp;L'!$B$99</c:f>
              <c:strCache>
                <c:ptCount val="1"/>
                <c:pt idx="0">
                  <c:v>Variable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'P&amp;L'!$C$96:$G$97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'P&amp;L'!$C$99:$G$99</c:f>
              <c:numCache>
                <c:formatCode>\₹#,##0;"(₹"#,##0\);\-</c:formatCode>
                <c:ptCount val="5"/>
                <c:pt idx="0">
                  <c:v>864000</c:v>
                </c:pt>
                <c:pt idx="1">
                  <c:v>907200</c:v>
                </c:pt>
                <c:pt idx="2">
                  <c:v>952560</c:v>
                </c:pt>
                <c:pt idx="3">
                  <c:v>1000188.0000000001</c:v>
                </c:pt>
                <c:pt idx="4">
                  <c:v>1050197.3999999999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C-4E25-A08B-01E6E2F77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9995919"/>
        <c:axId val="1579994479"/>
      </c:barChart>
      <c:catAx>
        <c:axId val="157999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94479"/>
        <c:crosses val="autoZero"/>
        <c:auto val="1"/>
        <c:lblAlgn val="ctr"/>
        <c:lblOffset val="100"/>
        <c:noMultiLvlLbl val="0"/>
      </c:catAx>
      <c:valAx>
        <c:axId val="15799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9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 Even'!$B$69</c:f>
              <c:strCache>
                <c:ptCount val="1"/>
                <c:pt idx="0">
                  <c:v>Price per Seat per month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'Break Even'!$B$70:$B$79</c:f>
              <c:numCache>
                <c:formatCode>\₹#,##0;"(₹"#,##0\);\-</c:formatCode>
                <c:ptCount val="10"/>
                <c:pt idx="0">
                  <c:v>5000</c:v>
                </c:pt>
                <c:pt idx="1">
                  <c:v>6000</c:v>
                </c:pt>
                <c:pt idx="2">
                  <c:v>7500</c:v>
                </c:pt>
                <c:pt idx="3">
                  <c:v>9000</c:v>
                </c:pt>
                <c:pt idx="4">
                  <c:v>10000</c:v>
                </c:pt>
                <c:pt idx="5">
                  <c:v>12000</c:v>
                </c:pt>
                <c:pt idx="6">
                  <c:v>15000</c:v>
                </c:pt>
                <c:pt idx="7">
                  <c:v>18000</c:v>
                </c:pt>
                <c:pt idx="8">
                  <c:v>20000</c:v>
                </c:pt>
                <c:pt idx="9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4-490D-9249-18D78C6721B3}"/>
            </c:ext>
          </c:extLst>
        </c:ser>
        <c:ser>
          <c:idx val="1"/>
          <c:order val="1"/>
          <c:tx>
            <c:strRef>
              <c:f>'Break Even'!$C$69</c:f>
              <c:strCache>
                <c:ptCount val="1"/>
                <c:pt idx="0">
                  <c:v>BEP Seats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'Break Even'!$C$70:$C$79</c:f>
              <c:numCache>
                <c:formatCode>#,##0;\(#,##0\);\-</c:formatCode>
                <c:ptCount val="10"/>
                <c:pt idx="0">
                  <c:v>259</c:v>
                </c:pt>
                <c:pt idx="1">
                  <c:v>209</c:v>
                </c:pt>
                <c:pt idx="2">
                  <c:v>161</c:v>
                </c:pt>
                <c:pt idx="3">
                  <c:v>131</c:v>
                </c:pt>
                <c:pt idx="4">
                  <c:v>117</c:v>
                </c:pt>
                <c:pt idx="5">
                  <c:v>96</c:v>
                </c:pt>
                <c:pt idx="6">
                  <c:v>76</c:v>
                </c:pt>
                <c:pt idx="7">
                  <c:v>63</c:v>
                </c:pt>
                <c:pt idx="8">
                  <c:v>56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4-490D-9249-18D78C6721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80001199"/>
        <c:axId val="1580001679"/>
      </c:lineChart>
      <c:catAx>
        <c:axId val="158000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01679"/>
        <c:crosses val="autoZero"/>
        <c:auto val="1"/>
        <c:lblAlgn val="ctr"/>
        <c:lblOffset val="100"/>
        <c:noMultiLvlLbl val="0"/>
      </c:catAx>
      <c:valAx>
        <c:axId val="1580001679"/>
        <c:scaling>
          <c:orientation val="minMax"/>
        </c:scaling>
        <c:delete val="0"/>
        <c:axPos val="l"/>
        <c:numFmt formatCode="\₹#,##0;&quot;(₹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0119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rtl="0">
              <a:defRPr sz="14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Net Cash Flow Trend Chart</a:t>
            </a:r>
            <a:endParaRPr lang="en-IN" sz="1400" b="1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waterfall" uniqueId="{27195D45-DDC9-49EE-829A-14C6EC1F74C3}">
          <cx:tx>
            <cx:txData>
              <cx:f>_xlchart.v1.0</cx:f>
              <cx:v>Net Cash Flow 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IN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 sz="1400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 sz="1400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Net Cash Flow Trend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Net Cash Flow Trend Chart</a:t>
          </a:r>
        </a:p>
      </cx:txPr>
    </cx:title>
    <cx:plotArea>
      <cx:plotAreaRegion>
        <cx:series layoutId="waterfall" uniqueId="{785247FF-A839-4114-8236-8BF772EBC6DF}">
          <cx:tx>
            <cx:txData>
              <cx:f>_xlchart.v1.3</cx:f>
              <cx:v>Net Cash Flow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37</xdr:row>
      <xdr:rowOff>54429</xdr:rowOff>
    </xdr:from>
    <xdr:to>
      <xdr:col>14</xdr:col>
      <xdr:colOff>1543050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438150</xdr:colOff>
      <xdr:row>59</xdr:row>
      <xdr:rowOff>149679</xdr:rowOff>
    </xdr:from>
    <xdr:to>
      <xdr:col>14</xdr:col>
      <xdr:colOff>1524000</xdr:colOff>
      <xdr:row>84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1352551</xdr:colOff>
      <xdr:row>36</xdr:row>
      <xdr:rowOff>152400</xdr:rowOff>
    </xdr:from>
    <xdr:to>
      <xdr:col>36</xdr:col>
      <xdr:colOff>38101</xdr:colOff>
      <xdr:row>58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1371600</xdr:colOff>
      <xdr:row>60</xdr:row>
      <xdr:rowOff>57150</xdr:rowOff>
    </xdr:from>
    <xdr:to>
      <xdr:col>36</xdr:col>
      <xdr:colOff>76200</xdr:colOff>
      <xdr:row>84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1943101</xdr:colOff>
      <xdr:row>60</xdr:row>
      <xdr:rowOff>19050</xdr:rowOff>
    </xdr:from>
    <xdr:to>
      <xdr:col>23</xdr:col>
      <xdr:colOff>1028701</xdr:colOff>
      <xdr:row>84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15240</xdr:colOff>
      <xdr:row>16</xdr:row>
      <xdr:rowOff>140970</xdr:rowOff>
    </xdr:from>
    <xdr:to>
      <xdr:col>36</xdr:col>
      <xdr:colOff>76201</xdr:colOff>
      <xdr:row>34</xdr:row>
      <xdr:rowOff>172570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387836</xdr:colOff>
      <xdr:row>1</xdr:row>
      <xdr:rowOff>325433</xdr:rowOff>
    </xdr:from>
    <xdr:to>
      <xdr:col>36</xdr:col>
      <xdr:colOff>44823</xdr:colOff>
      <xdr:row>15</xdr:row>
      <xdr:rowOff>48408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252CEB-CBC9-B593-9845-490C6AACE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397715</xdr:colOff>
      <xdr:row>2</xdr:row>
      <xdr:rowOff>55827</xdr:rowOff>
    </xdr:from>
    <xdr:to>
      <xdr:col>10</xdr:col>
      <xdr:colOff>552609</xdr:colOff>
      <xdr:row>14</xdr:row>
      <xdr:rowOff>379079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0DE106-D1EE-592C-5A0F-9EAF0E426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673395</xdr:colOff>
      <xdr:row>16</xdr:row>
      <xdr:rowOff>150628</xdr:rowOff>
    </xdr:from>
    <xdr:to>
      <xdr:col>25</xdr:col>
      <xdr:colOff>133350</xdr:colOff>
      <xdr:row>34</xdr:row>
      <xdr:rowOff>57151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65D2CB-6241-5481-1F8A-708F3C6D2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1962150</xdr:colOff>
      <xdr:row>37</xdr:row>
      <xdr:rowOff>19050</xdr:rowOff>
    </xdr:from>
    <xdr:to>
      <xdr:col>23</xdr:col>
      <xdr:colOff>1047750</xdr:colOff>
      <xdr:row>58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5E681A5-ECCC-BB2C-C08B-E49A726706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4110" y="8462010"/>
              <a:ext cx="9570720" cy="405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413657</xdr:colOff>
      <xdr:row>16</xdr:row>
      <xdr:rowOff>141514</xdr:rowOff>
    </xdr:from>
    <xdr:to>
      <xdr:col>13</xdr:col>
      <xdr:colOff>438151</xdr:colOff>
      <xdr:row>34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81D5C5E-9FA5-3FE4-15AE-D0A4650D6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640976</xdr:colOff>
      <xdr:row>78</xdr:row>
      <xdr:rowOff>53788</xdr:rowOff>
    </xdr:from>
    <xdr:to>
      <xdr:col>4</xdr:col>
      <xdr:colOff>1591235</xdr:colOff>
      <xdr:row>93</xdr:row>
      <xdr:rowOff>107576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53888-19F0-9F46-8F33-D69300DAE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811305</xdr:colOff>
      <xdr:row>100</xdr:row>
      <xdr:rowOff>80683</xdr:rowOff>
    </xdr:from>
    <xdr:to>
      <xdr:col>4</xdr:col>
      <xdr:colOff>1761564</xdr:colOff>
      <xdr:row>115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E2F345-DF1D-1216-5398-7C107408D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68</xdr:row>
      <xdr:rowOff>170329</xdr:rowOff>
    </xdr:from>
    <xdr:to>
      <xdr:col>5</xdr:col>
      <xdr:colOff>1008529</xdr:colOff>
      <xdr:row>83</xdr:row>
      <xdr:rowOff>116541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075B7-ED28-BFD6-9668-61F0D20F3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2804160</xdr:colOff>
      <xdr:row>50</xdr:row>
      <xdr:rowOff>102870</xdr:rowOff>
    </xdr:from>
    <xdr:to>
      <xdr:col>5</xdr:col>
      <xdr:colOff>236220</xdr:colOff>
      <xdr:row>65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884E06-578A-C082-6D33-A4F15309C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0" y="103136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4075-85B2-4A28-BF54-C23A0058BFBF}">
  <dimension ref="B1:C19"/>
  <sheetViews>
    <sheetView showGridLines="0" zoomScale="70" zoomScaleNormal="70" workbookViewId="0">
      <selection activeCell="C10" sqref="C10"/>
    </sheetView>
  </sheetViews>
  <sheetFormatPr defaultRowHeight="15" x14ac:dyDescent="0.25"/>
  <cols>
    <col min="1" max="1" width="8.88671875" style="13"/>
    <col min="2" max="2" width="10.109375" style="13" bestFit="1" customWidth="1"/>
    <col min="3" max="3" width="40.77734375" style="13" bestFit="1" customWidth="1"/>
    <col min="4" max="16384" width="8.88671875" style="13"/>
  </cols>
  <sheetData>
    <row r="1" spans="2:3" ht="15.6" thickBot="1" x14ac:dyDescent="0.3"/>
    <row r="2" spans="2:3" ht="24.6" x14ac:dyDescent="0.4">
      <c r="B2" s="409" t="s">
        <v>991</v>
      </c>
      <c r="C2" s="410" t="s">
        <v>990</v>
      </c>
    </row>
    <row r="3" spans="2:3" ht="24.6" x14ac:dyDescent="0.4">
      <c r="B3" s="411">
        <v>1</v>
      </c>
      <c r="C3" s="413" t="s">
        <v>1004</v>
      </c>
    </row>
    <row r="4" spans="2:3" ht="24.6" x14ac:dyDescent="0.4">
      <c r="B4" s="411">
        <v>2</v>
      </c>
      <c r="C4" s="413" t="s">
        <v>992</v>
      </c>
    </row>
    <row r="5" spans="2:3" ht="24.6" x14ac:dyDescent="0.4">
      <c r="B5" s="411">
        <v>3</v>
      </c>
      <c r="C5" s="413" t="s">
        <v>993</v>
      </c>
    </row>
    <row r="6" spans="2:3" ht="24.6" x14ac:dyDescent="0.4">
      <c r="B6" s="411">
        <v>4</v>
      </c>
      <c r="C6" s="413" t="s">
        <v>994</v>
      </c>
    </row>
    <row r="7" spans="2:3" ht="24.6" x14ac:dyDescent="0.4">
      <c r="B7" s="411">
        <v>5</v>
      </c>
      <c r="C7" s="413" t="s">
        <v>995</v>
      </c>
    </row>
    <row r="8" spans="2:3" ht="24.6" x14ac:dyDescent="0.4">
      <c r="B8" s="411">
        <v>6</v>
      </c>
      <c r="C8" s="413" t="s">
        <v>997</v>
      </c>
    </row>
    <row r="9" spans="2:3" ht="24.6" x14ac:dyDescent="0.4">
      <c r="B9" s="411">
        <v>7</v>
      </c>
      <c r="C9" s="413" t="s">
        <v>1006</v>
      </c>
    </row>
    <row r="10" spans="2:3" ht="24.6" x14ac:dyDescent="0.4">
      <c r="B10" s="411">
        <v>8</v>
      </c>
      <c r="C10" s="413" t="s">
        <v>996</v>
      </c>
    </row>
    <row r="11" spans="2:3" ht="24.6" x14ac:dyDescent="0.4">
      <c r="B11" s="411">
        <v>9</v>
      </c>
      <c r="C11" s="413" t="s">
        <v>998</v>
      </c>
    </row>
    <row r="12" spans="2:3" ht="24.6" x14ac:dyDescent="0.4">
      <c r="B12" s="411">
        <v>10</v>
      </c>
      <c r="C12" s="413" t="s">
        <v>1013</v>
      </c>
    </row>
    <row r="13" spans="2:3" ht="24.6" x14ac:dyDescent="0.4">
      <c r="B13" s="411">
        <v>11</v>
      </c>
      <c r="C13" s="413" t="s">
        <v>999</v>
      </c>
    </row>
    <row r="14" spans="2:3" ht="24.6" x14ac:dyDescent="0.4">
      <c r="B14" s="411">
        <v>12</v>
      </c>
      <c r="C14" s="413" t="s">
        <v>1000</v>
      </c>
    </row>
    <row r="15" spans="2:3" ht="24.6" x14ac:dyDescent="0.4">
      <c r="B15" s="411">
        <v>13</v>
      </c>
      <c r="C15" s="413" t="s">
        <v>1001</v>
      </c>
    </row>
    <row r="16" spans="2:3" ht="24.6" x14ac:dyDescent="0.4">
      <c r="B16" s="411">
        <v>14</v>
      </c>
      <c r="C16" s="413" t="s">
        <v>1002</v>
      </c>
    </row>
    <row r="17" spans="2:3" ht="24.6" x14ac:dyDescent="0.4">
      <c r="B17" s="411">
        <v>15</v>
      </c>
      <c r="C17" s="413" t="s">
        <v>1014</v>
      </c>
    </row>
    <row r="18" spans="2:3" ht="24.6" x14ac:dyDescent="0.4">
      <c r="B18" s="411">
        <v>16</v>
      </c>
      <c r="C18" s="413" t="s">
        <v>1003</v>
      </c>
    </row>
    <row r="19" spans="2:3" ht="25.2" thickBot="1" x14ac:dyDescent="0.45">
      <c r="B19" s="414">
        <v>17</v>
      </c>
      <c r="C19" s="412" t="s">
        <v>1012</v>
      </c>
    </row>
  </sheetData>
  <hyperlinks>
    <hyperlink ref="C4" location="Input!A1" display="Input " xr:uid="{4FB8D973-A14A-496B-9325-B20EC64F7D0D}"/>
    <hyperlink ref="C5" location="Assumptions!A1" display="Assumptions" xr:uid="{FC4A7794-1E91-4E0D-923F-EE3B5437108F}"/>
    <hyperlink ref="C6" location="Revenue!A1" display="Revenue " xr:uid="{4C544515-C226-4792-9CA9-F8BBD78256C1}"/>
    <hyperlink ref="C7" location="'Cost sheet'!A1" display="Cost Sheet" xr:uid="{65008DA5-2E3D-446E-A5CB-DDC35124BCC0}"/>
    <hyperlink ref="C8" location="Occupancy!A1" display="Occupancy Analysis" xr:uid="{6872FFDE-21BD-4C43-92C4-5A2D2DD4F884}"/>
    <hyperlink ref="C9" location="'Revenue Model'!A1" display=" Revenue Model" xr:uid="{82DEA3D4-7FE8-4F8C-8C04-F610860B9ACA}"/>
    <hyperlink ref="C10" location="'P&amp;L'!A1" display="Profit &amp; Loss " xr:uid="{83BBEBEC-D60C-44B5-8402-D9E36D925E3D}"/>
    <hyperlink ref="C11" location="'Cash Budget'!A1" display="Cash Budget " xr:uid="{3205418F-E46B-472A-B3D8-23C3DBFE51B1}"/>
    <hyperlink ref="C12" location="'Working Capital'!A1" display=" Working Capital" xr:uid="{7DB77960-8AD0-46E4-A5BC-FCFF916D0114}"/>
    <hyperlink ref="C13" location="'Standard Cost'!A1" display="Standard Costing" xr:uid="{7256CA49-C351-4F87-9B98-3FD836E097C3}"/>
    <hyperlink ref="C14" location="'Flexible Budget'!A1" display="Flexible Budget" xr:uid="{1963E1B6-4D80-4B4F-8E3C-B2BAA1B948B7}"/>
    <hyperlink ref="C15" location="'Break Even'!A1" display="Break-even Analysis" xr:uid="{5A17E86E-4A83-4B01-A0D1-444B9F5AED67}"/>
    <hyperlink ref="C16" location="Sensitivity!A1" display="Sensitivity Analysis" xr:uid="{BF2782D3-6068-42E2-A9FB-40BF104E4AF7}"/>
    <hyperlink ref="C17" location="'Investment Appraisal'!A1" display=" Investment Appraisal" xr:uid="{E1BD7A67-3EF2-46A3-8C4D-2F4136DDC968}"/>
    <hyperlink ref="C18" location="'Scenario '!A1" display="Scenario Comparison" xr:uid="{30813F60-CED7-4867-B5D2-632BE81B47B6}"/>
    <hyperlink ref="C19" location="Summary!A1" display="Summary" xr:uid="{4B3313D2-F1B4-4F9F-9630-F3CA31884B58}"/>
    <hyperlink ref="C3" location="Dashboard!A1" display="Dashboard" xr:uid="{91543AE5-2A46-4FD6-BCE3-7A4CDB8929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C1:CH87"/>
  <sheetViews>
    <sheetView showGridLines="0" zoomScale="48" zoomScaleNormal="85" workbookViewId="0">
      <selection activeCell="B18" sqref="B18"/>
    </sheetView>
  </sheetViews>
  <sheetFormatPr defaultColWidth="8.6640625" defaultRowHeight="15" x14ac:dyDescent="0.25"/>
  <cols>
    <col min="1" max="1" width="8.6640625" style="13"/>
    <col min="2" max="2" width="8.6640625" style="13" customWidth="1"/>
    <col min="3" max="3" width="8.6640625" style="13"/>
    <col min="4" max="4" width="8.6640625" style="13" customWidth="1"/>
    <col min="5" max="11" width="8.6640625" style="13"/>
    <col min="12" max="12" width="3.6640625" style="13" customWidth="1"/>
    <col min="13" max="13" width="8.5546875" style="13" customWidth="1"/>
    <col min="14" max="14" width="10" style="13" customWidth="1"/>
    <col min="15" max="15" width="36.21875" style="13" bestFit="1" customWidth="1"/>
    <col min="16" max="16" width="14.109375" style="13" customWidth="1"/>
    <col min="17" max="17" width="11.6640625" style="13" customWidth="1"/>
    <col min="18" max="18" width="21.21875" style="13" bestFit="1" customWidth="1"/>
    <col min="19" max="19" width="8.5546875" style="13" bestFit="1" customWidth="1"/>
    <col min="20" max="20" width="12.5546875" style="13" customWidth="1"/>
    <col min="21" max="21" width="22.33203125" style="13" bestFit="1" customWidth="1"/>
    <col min="22" max="22" width="12.21875" style="13" bestFit="1" customWidth="1"/>
    <col min="23" max="23" width="14" style="13" customWidth="1"/>
    <col min="24" max="24" width="26.77734375" style="13" bestFit="1" customWidth="1"/>
    <col min="25" max="25" width="9.109375" style="13" bestFit="1" customWidth="1"/>
    <col min="26" max="26" width="5" style="13" customWidth="1"/>
    <col min="27" max="27" width="9.44140625" style="13" customWidth="1"/>
    <col min="28" max="30" width="8.6640625" style="13"/>
    <col min="31" max="31" width="11" style="13" bestFit="1" customWidth="1"/>
    <col min="32" max="32" width="8.6640625" style="13"/>
    <col min="33" max="33" width="8.88671875" style="13" customWidth="1"/>
    <col min="34" max="34" width="10.6640625" style="13" customWidth="1"/>
    <col min="35" max="35" width="14.6640625" style="13" bestFit="1" customWidth="1"/>
    <col min="36" max="38" width="10.44140625" style="13" bestFit="1" customWidth="1"/>
    <col min="39" max="70" width="10.44140625" style="13" customWidth="1"/>
    <col min="71" max="71" width="5.44140625" style="13" bestFit="1" customWidth="1"/>
    <col min="72" max="72" width="21.5546875" style="13" bestFit="1" customWidth="1"/>
    <col min="73" max="73" width="19" style="13" bestFit="1" customWidth="1"/>
    <col min="74" max="74" width="17.88671875" style="13" bestFit="1" customWidth="1"/>
    <col min="75" max="75" width="17.33203125" style="13" bestFit="1" customWidth="1"/>
    <col min="76" max="76" width="20.6640625" style="13" bestFit="1" customWidth="1"/>
    <col min="77" max="77" width="18.21875" style="13" bestFit="1" customWidth="1"/>
    <col min="78" max="78" width="14.33203125" style="13" bestFit="1" customWidth="1"/>
    <col min="79" max="79" width="19" style="13" bestFit="1" customWidth="1"/>
    <col min="80" max="80" width="17.33203125" style="13" bestFit="1" customWidth="1"/>
    <col min="81" max="81" width="18.77734375" style="13" bestFit="1" customWidth="1"/>
    <col min="82" max="82" width="16.5546875" style="13" bestFit="1" customWidth="1"/>
    <col min="83" max="83" width="35.6640625" style="13" bestFit="1" customWidth="1"/>
    <col min="84" max="85" width="16.5546875" style="13" bestFit="1" customWidth="1"/>
    <col min="86" max="86" width="17.109375" style="13" bestFit="1" customWidth="1"/>
    <col min="87" max="87" width="24.33203125" style="13" bestFit="1" customWidth="1"/>
    <col min="88" max="92" width="12.109375" style="13" bestFit="1" customWidth="1"/>
    <col min="93" max="16384" width="8.6640625" style="13"/>
  </cols>
  <sheetData>
    <row r="1" spans="3:86" ht="20.399999999999999" x14ac:dyDescent="0.35">
      <c r="R1" s="415" t="s">
        <v>1005</v>
      </c>
      <c r="S1" s="415"/>
      <c r="T1" s="415"/>
      <c r="U1" s="415"/>
      <c r="V1" s="415"/>
      <c r="AH1" s="386"/>
      <c r="AI1" s="386"/>
      <c r="AJ1" s="386"/>
      <c r="AK1" s="386"/>
      <c r="AL1" s="386"/>
      <c r="AM1" s="386"/>
      <c r="AN1" s="386"/>
      <c r="AO1" s="386"/>
      <c r="AP1" s="386"/>
      <c r="AQ1" s="386"/>
      <c r="AR1" s="386"/>
      <c r="AS1" s="386"/>
      <c r="AT1" s="386"/>
      <c r="AU1" s="386"/>
      <c r="AV1" s="386"/>
      <c r="AW1" s="386"/>
      <c r="AX1" s="386"/>
      <c r="AY1" s="386"/>
      <c r="AZ1" s="386"/>
      <c r="BA1" s="386"/>
      <c r="BB1" s="386"/>
      <c r="BC1" s="386"/>
      <c r="BD1" s="386"/>
      <c r="BE1" s="386"/>
      <c r="BF1" s="386"/>
      <c r="BG1" s="386"/>
      <c r="BH1" s="386"/>
      <c r="BI1" s="386"/>
      <c r="BJ1" s="386"/>
      <c r="BK1" s="386"/>
      <c r="BL1" s="386"/>
      <c r="BM1" s="386"/>
      <c r="BN1" s="386"/>
      <c r="BO1" s="386"/>
      <c r="BP1" s="386"/>
      <c r="BQ1" s="386"/>
      <c r="BR1" s="386"/>
      <c r="BS1" s="386"/>
      <c r="BT1" s="386"/>
      <c r="BU1" s="386"/>
      <c r="BV1" s="386"/>
      <c r="BW1" s="386"/>
      <c r="BX1" s="386"/>
      <c r="BY1" s="386"/>
      <c r="BZ1" s="386"/>
      <c r="CA1" s="386"/>
      <c r="CB1" s="386"/>
    </row>
    <row r="2" spans="3:86" ht="30" x14ac:dyDescent="0.25">
      <c r="C2" s="389"/>
      <c r="D2" s="435" t="s">
        <v>1008</v>
      </c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03"/>
      <c r="AK2" s="403"/>
      <c r="AL2" s="386"/>
      <c r="AM2" s="386"/>
      <c r="AN2" s="386"/>
      <c r="AO2" s="386"/>
      <c r="AP2" s="386"/>
      <c r="AQ2" s="386"/>
      <c r="AR2" s="386"/>
      <c r="AS2" s="386"/>
      <c r="AT2" s="386"/>
      <c r="AU2" s="386"/>
      <c r="AV2" s="386"/>
      <c r="AW2" s="386"/>
      <c r="AX2" s="386"/>
      <c r="AY2" s="386"/>
      <c r="AZ2" s="386"/>
      <c r="BA2" s="386"/>
      <c r="BB2" s="386"/>
      <c r="BC2" s="386"/>
      <c r="BD2" s="386"/>
      <c r="BE2" s="386"/>
      <c r="BF2" s="386"/>
      <c r="BG2" s="386"/>
      <c r="BH2" s="386"/>
      <c r="BI2" s="386"/>
      <c r="BJ2" s="386"/>
      <c r="BK2" s="386"/>
      <c r="BL2" s="386"/>
      <c r="BM2" s="386"/>
      <c r="BN2" s="386"/>
      <c r="BO2" s="386"/>
      <c r="BP2" s="386"/>
      <c r="BQ2" s="386"/>
      <c r="BR2" s="386"/>
      <c r="BT2" s="386"/>
      <c r="BU2" s="386"/>
      <c r="BV2" s="386"/>
      <c r="BW2" s="386"/>
      <c r="BX2" s="386"/>
      <c r="BY2" s="386"/>
      <c r="BZ2" s="386"/>
      <c r="CA2" s="386"/>
      <c r="CB2" s="386"/>
      <c r="CC2" s="386"/>
      <c r="CD2" s="386"/>
      <c r="CE2" s="386"/>
      <c r="CF2" s="386"/>
      <c r="CG2" s="386"/>
      <c r="CH2" s="386"/>
    </row>
    <row r="3" spans="3:86" ht="21" x14ac:dyDescent="0.35"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421" t="s">
        <v>906</v>
      </c>
      <c r="N3" s="422"/>
      <c r="O3" s="404"/>
      <c r="P3" s="421" t="s">
        <v>907</v>
      </c>
      <c r="Q3" s="422"/>
      <c r="R3" s="404"/>
      <c r="S3" s="421" t="s">
        <v>908</v>
      </c>
      <c r="T3" s="422"/>
      <c r="U3" s="404"/>
      <c r="V3" s="421" t="s">
        <v>909</v>
      </c>
      <c r="W3" s="422"/>
      <c r="X3" s="404"/>
      <c r="Y3" s="421" t="s">
        <v>910</v>
      </c>
      <c r="Z3" s="422"/>
      <c r="AA3" s="422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BT3" s="420" t="s">
        <v>922</v>
      </c>
      <c r="BU3" s="420"/>
      <c r="BV3" s="420"/>
      <c r="BW3" s="420"/>
      <c r="BX3" s="420"/>
      <c r="BY3" s="420"/>
      <c r="BZ3" s="420"/>
      <c r="CA3" s="386"/>
      <c r="CB3" s="420" t="s">
        <v>984</v>
      </c>
      <c r="CC3" s="420"/>
      <c r="CD3" s="420"/>
      <c r="CE3" s="420"/>
      <c r="CF3" s="420"/>
      <c r="CG3" s="420"/>
      <c r="CH3" s="420"/>
    </row>
    <row r="4" spans="3:86" ht="21" x14ac:dyDescent="0.35"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423" t="str">
        <f>Input!C6</f>
        <v>Owned</v>
      </c>
      <c r="N4" s="424"/>
      <c r="O4" s="404"/>
      <c r="P4" s="423" t="str">
        <f>TEXT(Input!C13,"0%")</f>
        <v>80%</v>
      </c>
      <c r="Q4" s="424"/>
      <c r="R4" s="404"/>
      <c r="S4" s="425">
        <v>1</v>
      </c>
      <c r="T4" s="426"/>
      <c r="U4" s="404"/>
      <c r="V4" s="427">
        <f>Input!C10</f>
        <v>100</v>
      </c>
      <c r="W4" s="428"/>
      <c r="X4" s="404"/>
      <c r="Y4" s="429">
        <f>Input!C14</f>
        <v>7500</v>
      </c>
      <c r="Z4" s="430"/>
      <c r="AA4" s="430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BT4" s="386"/>
      <c r="BU4" s="9" t="s">
        <v>341</v>
      </c>
      <c r="BV4" s="9" t="s">
        <v>342</v>
      </c>
      <c r="BW4" s="9" t="s">
        <v>343</v>
      </c>
      <c r="BX4" s="9" t="s">
        <v>344</v>
      </c>
      <c r="BY4" s="9" t="s">
        <v>345</v>
      </c>
      <c r="BZ4" s="386"/>
      <c r="CA4" s="386"/>
      <c r="CB4" s="386" t="s">
        <v>336</v>
      </c>
      <c r="CC4" s="386" t="s">
        <v>341</v>
      </c>
      <c r="CD4" s="386" t="s">
        <v>342</v>
      </c>
      <c r="CE4" s="386" t="s">
        <v>343</v>
      </c>
      <c r="CF4" s="386" t="s">
        <v>344</v>
      </c>
      <c r="CG4" s="386" t="s">
        <v>345</v>
      </c>
      <c r="CH4" s="386"/>
    </row>
    <row r="5" spans="3:86" ht="21" x14ac:dyDescent="0.25"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431" t="s">
        <v>1009</v>
      </c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  <c r="AA5" s="432"/>
      <c r="AB5" s="389"/>
      <c r="AC5" s="389"/>
      <c r="AD5" s="389"/>
      <c r="AE5" s="389"/>
      <c r="AF5" s="389"/>
      <c r="AG5" s="389"/>
      <c r="AH5" s="389"/>
      <c r="AI5" s="389"/>
      <c r="AJ5" s="389"/>
      <c r="AK5" s="389"/>
      <c r="BT5" s="387" t="s">
        <v>397</v>
      </c>
      <c r="BU5" s="388">
        <f>'P&amp;L'!C8</f>
        <v>11196000</v>
      </c>
      <c r="BV5" s="388">
        <f>'P&amp;L'!D8</f>
        <v>11755800</v>
      </c>
      <c r="BW5" s="388">
        <f>'P&amp;L'!E8</f>
        <v>12343590</v>
      </c>
      <c r="BX5" s="388">
        <f>'P&amp;L'!F8</f>
        <v>12960769.5</v>
      </c>
      <c r="BY5" s="388">
        <f>'P&amp;L'!G8</f>
        <v>13608807.975</v>
      </c>
      <c r="BZ5" s="386"/>
      <c r="CA5" s="386"/>
      <c r="CB5" s="386" t="s">
        <v>397</v>
      </c>
      <c r="CC5" s="386">
        <f>'P&amp;L'!C8</f>
        <v>11196000</v>
      </c>
      <c r="CD5" s="386">
        <f>'P&amp;L'!D8</f>
        <v>11755800</v>
      </c>
      <c r="CE5" s="386">
        <f>'P&amp;L'!E8</f>
        <v>12343590</v>
      </c>
      <c r="CF5" s="386">
        <f>'P&amp;L'!F8</f>
        <v>12960769.5</v>
      </c>
      <c r="CG5" s="386">
        <f>'P&amp;L'!G8</f>
        <v>13608807.975</v>
      </c>
      <c r="CH5" s="386"/>
    </row>
    <row r="6" spans="3:86" ht="15.6" x14ac:dyDescent="0.25"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434" t="s">
        <v>1010</v>
      </c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BT6" s="387" t="s">
        <v>923</v>
      </c>
      <c r="BU6" s="388">
        <f>'P&amp;L'!C10</f>
        <v>10636200</v>
      </c>
      <c r="BV6" s="388">
        <f>'P&amp;L'!D10</f>
        <v>11168010</v>
      </c>
      <c r="BW6" s="388">
        <f>'P&amp;L'!E10</f>
        <v>11726410.5</v>
      </c>
      <c r="BX6" s="388">
        <f>'P&amp;L'!F10</f>
        <v>12312731.025</v>
      </c>
      <c r="BY6" s="388">
        <f>'P&amp;L'!G10</f>
        <v>12928367.57625</v>
      </c>
      <c r="BZ6" s="386"/>
      <c r="CA6" s="386"/>
      <c r="CB6" s="386" t="s">
        <v>923</v>
      </c>
      <c r="CC6" s="386">
        <f>'P&amp;L'!C10</f>
        <v>10636200</v>
      </c>
      <c r="CD6" s="386">
        <f>'P&amp;L'!D10</f>
        <v>11168010</v>
      </c>
      <c r="CE6" s="386">
        <f>'P&amp;L'!E10</f>
        <v>11726410.5</v>
      </c>
      <c r="CF6" s="386">
        <f>'P&amp;L'!F10</f>
        <v>12312731.025</v>
      </c>
      <c r="CG6" s="386">
        <f>'P&amp;L'!G10</f>
        <v>12928367.57625</v>
      </c>
      <c r="CH6" s="386"/>
    </row>
    <row r="7" spans="3:86" ht="15.6" x14ac:dyDescent="0.25"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BT7" s="387" t="s">
        <v>924</v>
      </c>
      <c r="BU7" s="388">
        <f>'P&amp;L'!C13+'P&amp;L'!C24</f>
        <v>13596639.374518419</v>
      </c>
      <c r="BV7" s="388">
        <f>'P&amp;L'!D13+'P&amp;L'!D24</f>
        <v>13828239.374518419</v>
      </c>
      <c r="BW7" s="388">
        <f>'P&amp;L'!E13+'P&amp;L'!E24</f>
        <v>14071419.374518419</v>
      </c>
      <c r="BX7" s="388">
        <f>'P&amp;L'!F13+'P&amp;L'!F24</f>
        <v>14326758.374518419</v>
      </c>
      <c r="BY7" s="388">
        <f>'P&amp;L'!G13+'P&amp;L'!G24</f>
        <v>14594864.32451842</v>
      </c>
      <c r="BZ7" s="386"/>
      <c r="CA7" s="386"/>
      <c r="CB7" s="386"/>
      <c r="CC7" s="386"/>
      <c r="CD7" s="386"/>
      <c r="CE7" s="386"/>
      <c r="CF7" s="386"/>
      <c r="CG7" s="386"/>
      <c r="CH7" s="386"/>
    </row>
    <row r="8" spans="3:86" ht="23.4" thickBot="1" x14ac:dyDescent="0.3">
      <c r="C8" s="389"/>
      <c r="D8" s="389"/>
      <c r="E8" s="389"/>
      <c r="F8" s="389"/>
      <c r="G8" s="389"/>
      <c r="H8" s="389"/>
      <c r="I8" s="389"/>
      <c r="J8" s="389"/>
      <c r="K8" s="389"/>
      <c r="L8" s="389"/>
      <c r="M8" s="436" t="s">
        <v>1011</v>
      </c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BT8" s="387" t="s">
        <v>267</v>
      </c>
      <c r="BU8" s="388">
        <f>'P&amp;L'!C26</f>
        <v>-2960439.3745184187</v>
      </c>
      <c r="BV8" s="388">
        <f>'P&amp;L'!D26</f>
        <v>-2660229.3745184187</v>
      </c>
      <c r="BW8" s="388">
        <f>'P&amp;L'!E26</f>
        <v>-2345008.8745184187</v>
      </c>
      <c r="BX8" s="388">
        <f>'P&amp;L'!F26</f>
        <v>-2014027.3495184183</v>
      </c>
      <c r="BY8" s="388">
        <f>'P&amp;L'!G26</f>
        <v>-1666496.7482684199</v>
      </c>
      <c r="BZ8" s="386"/>
      <c r="CA8" s="386"/>
      <c r="CB8" s="386"/>
      <c r="CC8" s="386"/>
      <c r="CD8" s="386"/>
      <c r="CE8" s="386"/>
      <c r="CF8" s="386"/>
      <c r="CG8" s="386"/>
      <c r="CH8" s="386"/>
    </row>
    <row r="9" spans="3:86" ht="17.399999999999999" x14ac:dyDescent="0.3">
      <c r="C9" s="389"/>
      <c r="D9" s="389"/>
      <c r="E9" s="389"/>
      <c r="F9" s="389"/>
      <c r="G9" s="389"/>
      <c r="H9" s="389"/>
      <c r="I9" s="389"/>
      <c r="J9" s="389"/>
      <c r="K9" s="389"/>
      <c r="L9" s="389"/>
      <c r="M9" s="389"/>
      <c r="N9" s="389"/>
      <c r="O9" s="442" t="s">
        <v>911</v>
      </c>
      <c r="P9" s="442"/>
      <c r="Q9" s="406"/>
      <c r="R9" s="437" t="s">
        <v>267</v>
      </c>
      <c r="S9" s="437"/>
      <c r="T9" s="406"/>
      <c r="U9" s="437" t="s">
        <v>912</v>
      </c>
      <c r="V9" s="437"/>
      <c r="W9" s="406"/>
      <c r="X9" s="443" t="s">
        <v>913</v>
      </c>
      <c r="Y9" s="443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BT9" s="387" t="s">
        <v>762</v>
      </c>
      <c r="BU9" s="388">
        <f>'P&amp;L'!C41</f>
        <v>-9919939.3745184187</v>
      </c>
      <c r="BV9" s="388">
        <f>'P&amp;L'!D41</f>
        <v>-8675625.8030898478</v>
      </c>
      <c r="BW9" s="388">
        <f>'P&amp;L'!E41</f>
        <v>-7463254.481661276</v>
      </c>
      <c r="BX9" s="388">
        <f>'P&amp;L'!F41</f>
        <v>-6269180.477732704</v>
      </c>
      <c r="BY9" s="388">
        <f>'P&amp;L'!G41</f>
        <v>-5083456.4870291343</v>
      </c>
      <c r="BZ9" s="386"/>
      <c r="CA9" s="386" t="s">
        <v>144</v>
      </c>
      <c r="CB9" s="386">
        <f>'Revenue Model'!C7</f>
        <v>3240000</v>
      </c>
      <c r="CC9" s="386"/>
      <c r="CD9" s="386"/>
      <c r="CE9" s="390" t="s">
        <v>987</v>
      </c>
      <c r="CF9" s="391" t="s">
        <v>677</v>
      </c>
    </row>
    <row r="10" spans="3:86" ht="17.399999999999999" x14ac:dyDescent="0.3">
      <c r="C10" s="389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439">
        <f>INDEX('P&amp;L'!C8:G8,1,S4)</f>
        <v>11196000</v>
      </c>
      <c r="P10" s="439"/>
      <c r="Q10" s="406"/>
      <c r="R10" s="439">
        <f>INDEX('P&amp;L'!C26:G26,1,S4)</f>
        <v>-2960439.3745184187</v>
      </c>
      <c r="S10" s="439"/>
      <c r="T10" s="406"/>
      <c r="U10" s="439">
        <f>INDEX('P&amp;L'!C43:G43,1,S4)</f>
        <v>-9919939.3745184187</v>
      </c>
      <c r="V10" s="439"/>
      <c r="W10" s="406"/>
      <c r="X10" s="444">
        <f>INDEX('P&amp;L'!C15:G15,1,S4)</f>
        <v>0.91876798104586221</v>
      </c>
      <c r="Y10" s="444"/>
      <c r="Z10" s="39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BT10" s="387" t="s">
        <v>925</v>
      </c>
      <c r="BU10" s="388">
        <f>'P&amp;L'!C43</f>
        <v>-9919939.3745184187</v>
      </c>
      <c r="BV10" s="388">
        <f>'P&amp;L'!D43</f>
        <v>-8675625.8030898478</v>
      </c>
      <c r="BW10" s="388">
        <f>'P&amp;L'!E43</f>
        <v>-7463254.481661276</v>
      </c>
      <c r="BX10" s="388">
        <f>'P&amp;L'!F43</f>
        <v>-6269180.477732704</v>
      </c>
      <c r="BY10" s="388">
        <f>'P&amp;L'!G43</f>
        <v>-5083456.4870291343</v>
      </c>
      <c r="BZ10" s="386"/>
      <c r="CA10" s="386" t="s">
        <v>146</v>
      </c>
      <c r="CB10" s="386">
        <f>'Revenue Model'!C8</f>
        <v>2484000</v>
      </c>
      <c r="CD10" s="386"/>
      <c r="CE10" s="392">
        <f>'Break Even'!B40</f>
        <v>5000</v>
      </c>
      <c r="CF10" s="393">
        <f>'Break Even'!C40</f>
        <v>259</v>
      </c>
      <c r="CH10" s="386"/>
    </row>
    <row r="11" spans="3:86" ht="15.6" x14ac:dyDescent="0.25">
      <c r="C11" s="389"/>
      <c r="D11" s="389"/>
      <c r="E11" s="389"/>
      <c r="F11" s="389"/>
      <c r="G11" s="389"/>
      <c r="H11" s="389"/>
      <c r="I11" s="389"/>
      <c r="J11" s="389"/>
      <c r="K11" s="389"/>
      <c r="L11" s="389"/>
      <c r="M11" s="389"/>
      <c r="N11" s="389"/>
      <c r="O11" s="433" t="s">
        <v>914</v>
      </c>
      <c r="P11" s="433"/>
      <c r="Q11" s="389"/>
      <c r="R11" s="433" t="s">
        <v>915</v>
      </c>
      <c r="S11" s="433"/>
      <c r="T11" s="389"/>
      <c r="U11" s="433" t="s">
        <v>916</v>
      </c>
      <c r="V11" s="433"/>
      <c r="W11" s="389"/>
      <c r="X11" s="433" t="s">
        <v>866</v>
      </c>
      <c r="Y11" s="433"/>
      <c r="Z11" s="400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BT11" s="386"/>
      <c r="BU11" s="386"/>
      <c r="BV11" s="386"/>
      <c r="BW11" s="386"/>
      <c r="BX11" s="386"/>
      <c r="BY11" s="386"/>
      <c r="BZ11" s="386"/>
      <c r="CA11" s="386" t="s">
        <v>368</v>
      </c>
      <c r="CB11" s="386">
        <f>'Revenue Model'!C9</f>
        <v>2016000</v>
      </c>
      <c r="CD11" s="386"/>
      <c r="CE11" s="392">
        <f>'Break Even'!B41</f>
        <v>6000</v>
      </c>
      <c r="CF11" s="393">
        <f>'Break Even'!C41</f>
        <v>209</v>
      </c>
      <c r="CH11" s="386"/>
    </row>
    <row r="12" spans="3:86" ht="15.6" x14ac:dyDescent="0.25">
      <c r="C12" s="389"/>
      <c r="D12" s="389"/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BS12" s="420" t="s">
        <v>926</v>
      </c>
      <c r="BT12" s="420"/>
      <c r="BU12" s="420"/>
      <c r="BV12" s="420"/>
      <c r="BW12" s="420"/>
      <c r="BX12" s="420"/>
      <c r="BY12" s="420"/>
      <c r="BZ12" s="386"/>
      <c r="CA12" s="386" t="s">
        <v>369</v>
      </c>
      <c r="CB12" s="386">
        <f>'Revenue Model'!C10</f>
        <v>864000</v>
      </c>
      <c r="CC12" s="386"/>
      <c r="CD12" s="386"/>
      <c r="CE12" s="392">
        <f>'Break Even'!B42</f>
        <v>7500</v>
      </c>
      <c r="CF12" s="393">
        <f>'Break Even'!C42</f>
        <v>161</v>
      </c>
      <c r="CG12" s="386"/>
    </row>
    <row r="13" spans="3:86" ht="30.6" x14ac:dyDescent="0.3">
      <c r="C13" s="389"/>
      <c r="D13" s="389"/>
      <c r="E13" s="389"/>
      <c r="F13" s="389"/>
      <c r="G13" s="389"/>
      <c r="H13" s="389"/>
      <c r="I13" s="389"/>
      <c r="J13" s="389"/>
      <c r="K13" s="389"/>
      <c r="L13" s="389"/>
      <c r="M13" s="389"/>
      <c r="N13" s="389"/>
      <c r="O13" s="408" t="s">
        <v>1007</v>
      </c>
      <c r="P13" s="408"/>
      <c r="Q13" s="406"/>
      <c r="R13" s="437" t="s">
        <v>892</v>
      </c>
      <c r="S13" s="437"/>
      <c r="T13" s="406"/>
      <c r="U13" s="437" t="s">
        <v>917</v>
      </c>
      <c r="V13" s="437"/>
      <c r="W13" s="406"/>
      <c r="X13" s="440" t="s">
        <v>192</v>
      </c>
      <c r="Y13" s="440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BS13" s="386"/>
      <c r="BU13" s="9" t="s">
        <v>341</v>
      </c>
      <c r="BV13" s="9" t="s">
        <v>342</v>
      </c>
      <c r="BW13" s="9" t="s">
        <v>343</v>
      </c>
      <c r="BX13" s="9" t="s">
        <v>344</v>
      </c>
      <c r="BY13" s="9" t="s">
        <v>345</v>
      </c>
      <c r="BZ13" s="386"/>
      <c r="CA13" s="386" t="s">
        <v>152</v>
      </c>
      <c r="CB13" s="386">
        <f>'Revenue Model'!C11</f>
        <v>720000</v>
      </c>
      <c r="CC13" s="386"/>
      <c r="CD13" s="386"/>
      <c r="CE13" s="392">
        <f>'Break Even'!B43</f>
        <v>9000</v>
      </c>
      <c r="CF13" s="393">
        <f>'Break Even'!C43</f>
        <v>131</v>
      </c>
      <c r="CG13" s="386"/>
    </row>
    <row r="14" spans="3:86" ht="30.6" x14ac:dyDescent="0.3">
      <c r="C14" s="389"/>
      <c r="D14" s="389"/>
      <c r="E14" s="389"/>
      <c r="F14" s="389"/>
      <c r="G14" s="389"/>
      <c r="H14" s="389"/>
      <c r="I14" s="389"/>
      <c r="J14" s="389"/>
      <c r="K14" s="389"/>
      <c r="L14" s="389"/>
      <c r="M14" s="389"/>
      <c r="N14" s="389"/>
      <c r="O14" s="439">
        <f>'Investment Appraisal'!C30</f>
        <v>-111804258.30717614</v>
      </c>
      <c r="P14" s="439"/>
      <c r="Q14" s="406"/>
      <c r="R14" s="438" t="str">
        <f>'Investment Appraisal'!C31</f>
        <v>Loss-making</v>
      </c>
      <c r="S14" s="438"/>
      <c r="T14" s="406"/>
      <c r="U14" s="438" t="str">
        <f>TEXT('Break Even'!C28,"0%")</f>
        <v>161%</v>
      </c>
      <c r="V14" s="438"/>
      <c r="W14" s="406"/>
      <c r="X14" s="439">
        <f>'Cost sheet'!C15</f>
        <v>88950000</v>
      </c>
      <c r="Y14" s="439"/>
      <c r="Z14" s="401"/>
      <c r="AA14" s="389"/>
      <c r="AB14" s="389"/>
      <c r="AC14" s="389"/>
      <c r="AD14" s="389"/>
      <c r="AE14" s="389"/>
      <c r="AF14" s="389"/>
      <c r="AG14" s="389"/>
      <c r="AH14" s="389"/>
      <c r="AI14" s="389"/>
      <c r="AJ14" s="389"/>
      <c r="AK14" s="389"/>
      <c r="BT14" s="387" t="s">
        <v>927</v>
      </c>
      <c r="BU14" s="388">
        <f>'Cash Budget'!O22</f>
        <v>-34242639.374518454</v>
      </c>
      <c r="BV14" s="388">
        <f>'Cash Budget'!C30</f>
        <v>-2960439.3745184187</v>
      </c>
      <c r="BW14" s="388">
        <f>'Cash Budget'!D30</f>
        <v>-2660229.3745184187</v>
      </c>
      <c r="BX14" s="388">
        <f>'Cash Budget'!E30</f>
        <v>-2345008.8745184187</v>
      </c>
      <c r="BY14" s="388">
        <f>'Cash Budget'!F30</f>
        <v>-2014027.3495184183</v>
      </c>
      <c r="BZ14" s="386"/>
      <c r="CA14" s="386" t="s">
        <v>154</v>
      </c>
      <c r="CB14" s="386">
        <f>'Revenue Model'!C12</f>
        <v>720000</v>
      </c>
      <c r="CD14" s="386"/>
      <c r="CE14" s="392">
        <f>'Break Even'!B44</f>
        <v>10000</v>
      </c>
      <c r="CF14" s="393">
        <f>'Break Even'!C44</f>
        <v>117</v>
      </c>
      <c r="CH14" s="386"/>
    </row>
    <row r="15" spans="3:86" ht="30" x14ac:dyDescent="0.25">
      <c r="C15" s="389"/>
      <c r="D15" s="389"/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433" t="s">
        <v>918</v>
      </c>
      <c r="P15" s="433"/>
      <c r="Q15" s="407"/>
      <c r="R15" s="433" t="s">
        <v>919</v>
      </c>
      <c r="S15" s="433"/>
      <c r="T15" s="407"/>
      <c r="U15" s="433" t="s">
        <v>920</v>
      </c>
      <c r="V15" s="433"/>
      <c r="W15" s="407"/>
      <c r="X15" s="441" t="s">
        <v>921</v>
      </c>
      <c r="Y15" s="441"/>
      <c r="Z15" s="402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BT15" s="394" t="s">
        <v>928</v>
      </c>
      <c r="BU15" s="395">
        <f>BU14</f>
        <v>-34242639.374518454</v>
      </c>
      <c r="BV15" s="395">
        <f>BU15+BV14</f>
        <v>-37203078.749036871</v>
      </c>
      <c r="BW15" s="395">
        <f>BV15+BW14</f>
        <v>-39863308.123555288</v>
      </c>
      <c r="BX15" s="395">
        <f>BW15+BX14</f>
        <v>-42208316.998073705</v>
      </c>
      <c r="BY15" s="395">
        <f>BX15+BY14</f>
        <v>-44222344.347592123</v>
      </c>
      <c r="BZ15" s="386"/>
      <c r="CA15" s="386" t="s">
        <v>370</v>
      </c>
      <c r="CB15" s="386">
        <f>'Revenue Model'!C13</f>
        <v>1152000</v>
      </c>
      <c r="CD15" s="386"/>
      <c r="CE15" s="392">
        <f>'Break Even'!B45</f>
        <v>12000</v>
      </c>
      <c r="CF15" s="393">
        <f>'Break Even'!C45</f>
        <v>96</v>
      </c>
      <c r="CH15" s="386"/>
    </row>
    <row r="16" spans="3:86" x14ac:dyDescent="0.25">
      <c r="C16" s="389"/>
      <c r="D16" s="389"/>
      <c r="E16" s="389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BT16" s="386"/>
      <c r="BU16" s="386"/>
      <c r="BV16" s="386"/>
      <c r="BW16" s="386"/>
      <c r="BX16" s="386"/>
      <c r="BY16" s="386"/>
      <c r="BZ16" s="386"/>
      <c r="CA16" s="386"/>
      <c r="CB16" s="386"/>
      <c r="CC16" s="386"/>
      <c r="CD16" s="386"/>
      <c r="CE16" s="392">
        <f>'Break Even'!B46</f>
        <v>15000</v>
      </c>
      <c r="CF16" s="393">
        <f>'Break Even'!C46</f>
        <v>76</v>
      </c>
      <c r="CH16" s="386"/>
    </row>
    <row r="17" spans="3:86" ht="15.6" x14ac:dyDescent="0.25">
      <c r="C17" s="389"/>
      <c r="D17" s="389"/>
      <c r="E17" s="389"/>
      <c r="F17" s="389"/>
      <c r="G17" s="389"/>
      <c r="H17" s="389"/>
      <c r="I17" s="389"/>
      <c r="J17" s="389"/>
      <c r="K17" s="389"/>
      <c r="L17" s="389"/>
      <c r="M17" s="419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05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BT17" s="420" t="s">
        <v>929</v>
      </c>
      <c r="BU17" s="420"/>
      <c r="BV17" s="420"/>
      <c r="BW17" s="420"/>
      <c r="BX17" s="420"/>
      <c r="BY17" s="420"/>
      <c r="BZ17" s="420"/>
      <c r="CA17" s="420"/>
      <c r="CB17" s="420"/>
      <c r="CC17" s="420"/>
      <c r="CD17" s="420"/>
      <c r="CE17" s="392">
        <f>'Break Even'!B47</f>
        <v>18000</v>
      </c>
      <c r="CF17" s="393">
        <f>'Break Even'!C47</f>
        <v>63</v>
      </c>
      <c r="CH17" s="386"/>
    </row>
    <row r="18" spans="3:86" ht="15.6" x14ac:dyDescent="0.25">
      <c r="C18" s="389"/>
      <c r="D18" s="389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BT18" s="387" t="s">
        <v>930</v>
      </c>
      <c r="BU18" s="9" t="s">
        <v>699</v>
      </c>
      <c r="BV18" s="9" t="s">
        <v>700</v>
      </c>
      <c r="BW18" s="9" t="s">
        <v>701</v>
      </c>
      <c r="BX18" s="9" t="s">
        <v>702</v>
      </c>
      <c r="BY18" s="9" t="s">
        <v>703</v>
      </c>
      <c r="BZ18" s="9" t="s">
        <v>704</v>
      </c>
      <c r="CA18" s="9" t="s">
        <v>705</v>
      </c>
      <c r="CB18" s="9" t="s">
        <v>706</v>
      </c>
      <c r="CC18" s="9" t="s">
        <v>707</v>
      </c>
      <c r="CD18" s="386"/>
      <c r="CE18" s="392">
        <f>'Break Even'!B48</f>
        <v>20000</v>
      </c>
      <c r="CF18" s="393">
        <f>'Break Even'!C48</f>
        <v>56</v>
      </c>
      <c r="CH18" s="386"/>
    </row>
    <row r="19" spans="3:86" ht="16.2" thickBot="1" x14ac:dyDescent="0.3"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BT19" s="387" t="s">
        <v>931</v>
      </c>
      <c r="BU19" s="388">
        <f>'Break Even'!E53</f>
        <v>-629803.28120986838</v>
      </c>
      <c r="BV19" s="388">
        <f>'Break Even'!E54</f>
        <v>-554428.28120986838</v>
      </c>
      <c r="BW19" s="388">
        <f>'Break Even'!E55</f>
        <v>-486553.28120986838</v>
      </c>
      <c r="BX19" s="388">
        <f>'Break Even'!E56</f>
        <v>-411178.28120986838</v>
      </c>
      <c r="BY19" s="388">
        <f>'Break Even'!E57</f>
        <v>-343303.28120986838</v>
      </c>
      <c r="BZ19" s="388">
        <f>'Break Even'!E58</f>
        <v>-267928.28120986838</v>
      </c>
      <c r="CA19" s="388">
        <f>'Break Even'!E59</f>
        <v>-200053.28120986838</v>
      </c>
      <c r="CB19" s="388">
        <f>'Break Even'!E60</f>
        <v>-124678.28120986838</v>
      </c>
      <c r="CC19" s="388">
        <f>'Break Even'!E61</f>
        <v>-56803.281209868379</v>
      </c>
      <c r="CD19" s="386"/>
      <c r="CE19" s="396">
        <f>'Break Even'!B49</f>
        <v>25000</v>
      </c>
      <c r="CF19" s="397">
        <f>'Break Even'!C49</f>
        <v>45</v>
      </c>
      <c r="CH19" s="386"/>
    </row>
    <row r="20" spans="3:86" x14ac:dyDescent="0.25">
      <c r="C20" s="389"/>
      <c r="D20" s="389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BT20" s="386"/>
      <c r="BU20" s="386" t="s">
        <v>138</v>
      </c>
      <c r="BV20" s="386" t="s">
        <v>341</v>
      </c>
      <c r="BW20" s="386"/>
      <c r="BX20" s="386"/>
      <c r="BY20" s="386"/>
      <c r="BZ20" s="386"/>
      <c r="CA20" s="386"/>
      <c r="CB20" s="386"/>
      <c r="CC20" s="386"/>
      <c r="CD20" s="386"/>
      <c r="CE20" s="386"/>
      <c r="CF20" s="386"/>
      <c r="CG20" s="386"/>
      <c r="CH20" s="386"/>
    </row>
    <row r="21" spans="3:86" ht="15.6" x14ac:dyDescent="0.25"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BT21" s="420" t="s">
        <v>932</v>
      </c>
      <c r="BU21" s="420"/>
      <c r="BV21" s="420"/>
      <c r="BW21" s="420"/>
      <c r="BX21" s="420"/>
      <c r="BY21" s="420"/>
      <c r="BZ21" s="420"/>
      <c r="CA21" s="386"/>
      <c r="CB21" s="420" t="s">
        <v>986</v>
      </c>
      <c r="CC21" s="420"/>
      <c r="CD21" s="420"/>
      <c r="CE21" s="420"/>
      <c r="CF21" s="420"/>
      <c r="CG21" s="420"/>
      <c r="CH21" s="420"/>
    </row>
    <row r="22" spans="3:86" ht="15.6" x14ac:dyDescent="0.25"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BT22" s="387" t="s">
        <v>175</v>
      </c>
      <c r="BU22" s="9" t="s">
        <v>933</v>
      </c>
      <c r="BV22" s="9" t="s">
        <v>934</v>
      </c>
      <c r="BW22" s="9" t="s">
        <v>935</v>
      </c>
      <c r="BX22" s="386"/>
      <c r="BY22" s="386"/>
      <c r="BZ22" s="386"/>
      <c r="CA22" s="386"/>
      <c r="CB22" s="386" t="s">
        <v>336</v>
      </c>
      <c r="CC22" s="386" t="s">
        <v>341</v>
      </c>
      <c r="CD22" s="386" t="s">
        <v>342</v>
      </c>
      <c r="CE22" s="386" t="s">
        <v>343</v>
      </c>
      <c r="CF22" s="386" t="s">
        <v>344</v>
      </c>
      <c r="CG22" s="386" t="s">
        <v>345</v>
      </c>
      <c r="CH22" s="386"/>
    </row>
    <row r="23" spans="3:86" ht="15.6" x14ac:dyDescent="0.25"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BT23" s="387" t="s">
        <v>3</v>
      </c>
      <c r="BU23" s="398">
        <f>'P&amp;L'!C26/10000000</f>
        <v>-0.29604393745184188</v>
      </c>
      <c r="BV23" s="398">
        <f>'P&amp;L'!C43/10000000</f>
        <v>-0.99199393745184183</v>
      </c>
      <c r="BW23" s="398">
        <f>'Cost sheet'!C53*12/10000000</f>
        <v>1.359663937451842</v>
      </c>
      <c r="BX23" s="386"/>
      <c r="BY23" s="386"/>
      <c r="BZ23" s="386"/>
      <c r="CA23" s="386"/>
      <c r="CB23" s="386" t="s">
        <v>985</v>
      </c>
      <c r="CC23" s="386">
        <f>'P&amp;L'!C24</f>
        <v>12732639.374518419</v>
      </c>
      <c r="CD23" s="386">
        <f>'P&amp;L'!D24</f>
        <v>12921039.374518419</v>
      </c>
      <c r="CE23" s="386">
        <f>'P&amp;L'!E24</f>
        <v>13118859.374518419</v>
      </c>
      <c r="CF23" s="386">
        <f>'P&amp;L'!F24</f>
        <v>13326570.374518419</v>
      </c>
      <c r="CG23" s="386">
        <f>'P&amp;L'!G24</f>
        <v>13544666.924518419</v>
      </c>
      <c r="CH23" s="386"/>
    </row>
    <row r="24" spans="3:86" ht="15.6" x14ac:dyDescent="0.25">
      <c r="C24" s="389"/>
      <c r="D24" s="389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BT24" s="387" t="s">
        <v>936</v>
      </c>
      <c r="BU24" s="398">
        <f>'Scenario '!D29/10000000</f>
        <v>0.21042</v>
      </c>
      <c r="BV24" s="398">
        <f>'Scenario '!D35/10000000</f>
        <v>-4.7230000000000001E-2</v>
      </c>
      <c r="BW24" s="398">
        <f>'Scenario '!D21*12/10000000</f>
        <v>0.85319999999999996</v>
      </c>
      <c r="BX24" s="386"/>
      <c r="BY24" s="386"/>
      <c r="BZ24" s="386"/>
      <c r="CA24" s="386"/>
      <c r="CB24" s="386" t="s">
        <v>978</v>
      </c>
      <c r="CC24" s="386">
        <f>'P&amp;L'!C13</f>
        <v>864000</v>
      </c>
      <c r="CD24" s="386">
        <f>'P&amp;L'!D13</f>
        <v>907200</v>
      </c>
      <c r="CE24" s="386">
        <f>'P&amp;L'!E13</f>
        <v>952560</v>
      </c>
      <c r="CF24" s="386">
        <f>'P&amp;L'!F13</f>
        <v>1000188.0000000001</v>
      </c>
      <c r="CG24" s="386">
        <f>'P&amp;L'!G13</f>
        <v>1050197.3999999999</v>
      </c>
      <c r="CH24" s="386"/>
    </row>
    <row r="25" spans="3:86" ht="15.6" thickBot="1" x14ac:dyDescent="0.3"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BT25" s="386"/>
      <c r="BU25" s="386"/>
      <c r="BV25" s="386"/>
      <c r="BW25" s="386"/>
      <c r="BX25" s="386"/>
      <c r="BY25" s="386"/>
      <c r="BZ25" s="386"/>
      <c r="CA25" s="386"/>
      <c r="CB25" s="386"/>
      <c r="CC25" s="386"/>
      <c r="CD25" s="386"/>
      <c r="CE25" s="386"/>
      <c r="CF25" s="386"/>
      <c r="CG25" s="386"/>
      <c r="CH25" s="386"/>
    </row>
    <row r="26" spans="3:86" ht="17.399999999999999" x14ac:dyDescent="0.25"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BT26" s="420" t="s">
        <v>937</v>
      </c>
      <c r="BU26" s="420"/>
      <c r="BV26" s="420"/>
      <c r="BW26" s="420"/>
      <c r="BX26" s="420"/>
      <c r="BY26" s="420"/>
      <c r="BZ26" s="420"/>
      <c r="CA26" s="386"/>
      <c r="CB26" s="416" t="s">
        <v>988</v>
      </c>
      <c r="CC26" s="417"/>
      <c r="CD26" s="417"/>
      <c r="CE26" s="417"/>
      <c r="CF26" s="417"/>
      <c r="CG26" s="417"/>
      <c r="CH26" s="418"/>
    </row>
    <row r="27" spans="3:86" ht="15.6" x14ac:dyDescent="0.25"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BT27" s="387" t="s">
        <v>43</v>
      </c>
      <c r="BU27" s="9" t="s">
        <v>938</v>
      </c>
      <c r="BV27" s="9" t="s">
        <v>939</v>
      </c>
      <c r="BW27" s="9" t="s">
        <v>940</v>
      </c>
      <c r="BX27" s="9" t="s">
        <v>941</v>
      </c>
      <c r="BY27" s="9" t="s">
        <v>942</v>
      </c>
      <c r="BZ27" s="386"/>
      <c r="CA27" s="386"/>
      <c r="CB27" s="103" t="s">
        <v>336</v>
      </c>
      <c r="CC27" s="91" t="s">
        <v>769</v>
      </c>
      <c r="CD27" s="91" t="s">
        <v>770</v>
      </c>
      <c r="CE27" s="91" t="s">
        <v>771</v>
      </c>
      <c r="CF27" s="91" t="s">
        <v>772</v>
      </c>
      <c r="CG27" s="91" t="s">
        <v>773</v>
      </c>
      <c r="CH27" s="104" t="s">
        <v>774</v>
      </c>
    </row>
    <row r="28" spans="3:86" ht="16.2" thickBot="1" x14ac:dyDescent="0.3"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403"/>
      <c r="AI28" s="403"/>
      <c r="AJ28" s="403"/>
      <c r="AK28" s="403"/>
      <c r="AL28" s="386"/>
      <c r="AM28" s="386"/>
      <c r="AN28" s="386"/>
      <c r="AO28" s="386"/>
      <c r="AP28" s="386"/>
      <c r="AQ28" s="386"/>
      <c r="AR28" s="386"/>
      <c r="AS28" s="386"/>
      <c r="AT28" s="386"/>
      <c r="AU28" s="386"/>
      <c r="AV28" s="386"/>
      <c r="AW28" s="386"/>
      <c r="AX28" s="386"/>
      <c r="AY28" s="386"/>
      <c r="AZ28" s="386"/>
      <c r="BA28" s="386"/>
      <c r="BB28" s="386"/>
      <c r="BC28" s="386"/>
      <c r="BD28" s="386"/>
      <c r="BE28" s="386"/>
      <c r="BF28" s="386"/>
      <c r="BG28" s="386"/>
      <c r="BH28" s="386"/>
      <c r="BI28" s="386"/>
      <c r="BJ28" s="386"/>
      <c r="BK28" s="386"/>
      <c r="BL28" s="386"/>
      <c r="BM28" s="386"/>
      <c r="BN28" s="386"/>
      <c r="BO28" s="386"/>
      <c r="BP28" s="386"/>
      <c r="BQ28" s="386"/>
      <c r="BR28" s="386"/>
      <c r="BT28" s="387" t="s">
        <v>943</v>
      </c>
      <c r="BU28" s="388">
        <f>'Cost sheet'!C20*12</f>
        <v>8964639.3745184187</v>
      </c>
      <c r="BV28" s="388">
        <f>('Cost sheet'!C21+'Cost sheet'!C22+'Cost sheet'!C23+'Cost sheet'!C24+'Cost sheet'!C25+'Cost sheet'!C26)*12</f>
        <v>2388000</v>
      </c>
      <c r="BW28" s="388">
        <f>('Cost sheet'!C27+'Cost sheet'!C28+'Cost sheet'!C29)*12</f>
        <v>936000</v>
      </c>
      <c r="BX28" s="388">
        <f>('Cost sheet'!C30+'Cost sheet'!C31+'Cost sheet'!C32+'Cost sheet'!C33)*12</f>
        <v>444000</v>
      </c>
      <c r="BY28" s="388">
        <f>'Cost sheet'!C49*'Cost sheet'!C43*12</f>
        <v>864000</v>
      </c>
      <c r="BZ28" s="386"/>
      <c r="CA28" s="386"/>
      <c r="CB28" s="48" t="s">
        <v>989</v>
      </c>
      <c r="CC28" s="263">
        <f>'Investment Appraisal'!C19</f>
        <v>-88950000</v>
      </c>
      <c r="CD28" s="263">
        <f>'Investment Appraisal'!D19</f>
        <v>-8297439.3745184187</v>
      </c>
      <c r="CE28" s="263">
        <f>'Investment Appraisal'!E19</f>
        <v>-7234800.8030898478</v>
      </c>
      <c r="CF28" s="263">
        <f>'Investment Appraisal'!F19</f>
        <v>-6157151.731661276</v>
      </c>
      <c r="CG28" s="263">
        <f>'Investment Appraisal'!G19</f>
        <v>-5063741.6352327038</v>
      </c>
      <c r="CH28" s="263">
        <f>'Investment Appraisal'!H19</f>
        <v>-3953782.4625541344</v>
      </c>
    </row>
    <row r="29" spans="3:86" x14ac:dyDescent="0.25"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403"/>
      <c r="AI29" s="403"/>
      <c r="AJ29" s="403"/>
      <c r="AK29" s="403"/>
      <c r="AL29" s="386"/>
      <c r="AM29" s="386"/>
      <c r="AN29" s="386"/>
      <c r="AO29" s="386"/>
      <c r="AP29" s="386"/>
      <c r="AQ29" s="386"/>
      <c r="AR29" s="386"/>
      <c r="AS29" s="386"/>
      <c r="AT29" s="386"/>
      <c r="AU29" s="386"/>
      <c r="AV29" s="386"/>
      <c r="AW29" s="386"/>
      <c r="AX29" s="386"/>
      <c r="AY29" s="386"/>
      <c r="AZ29" s="386"/>
      <c r="BA29" s="386"/>
      <c r="BB29" s="386"/>
      <c r="BC29" s="386"/>
      <c r="BD29" s="386"/>
      <c r="BE29" s="386"/>
      <c r="BF29" s="386"/>
      <c r="BG29" s="386"/>
      <c r="BH29" s="386"/>
      <c r="BI29" s="386"/>
      <c r="BJ29" s="386"/>
      <c r="BK29" s="386"/>
      <c r="BL29" s="386"/>
      <c r="BM29" s="386"/>
      <c r="BN29" s="386"/>
      <c r="BO29" s="386"/>
      <c r="BP29" s="386"/>
      <c r="BQ29" s="386"/>
      <c r="BR29" s="386"/>
      <c r="BT29" s="386"/>
      <c r="BU29" s="386"/>
      <c r="BV29" s="386"/>
      <c r="BW29" s="386"/>
      <c r="BX29" s="386"/>
      <c r="BY29" s="386"/>
      <c r="BZ29" s="386"/>
      <c r="CA29" s="386"/>
      <c r="CB29" s="386"/>
      <c r="CC29" s="386"/>
      <c r="CD29" s="386"/>
      <c r="CE29" s="386"/>
      <c r="CF29" s="386"/>
      <c r="CG29" s="386"/>
      <c r="CH29" s="386"/>
    </row>
    <row r="30" spans="3:86" x14ac:dyDescent="0.25"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403"/>
      <c r="AI30" s="403"/>
      <c r="AJ30" s="403"/>
      <c r="AK30" s="403"/>
      <c r="AL30" s="386"/>
      <c r="AM30" s="386"/>
      <c r="AN30" s="386"/>
      <c r="AO30" s="386"/>
      <c r="AP30" s="386"/>
      <c r="AQ30" s="386"/>
      <c r="AR30" s="386"/>
      <c r="AS30" s="386"/>
      <c r="AT30" s="386"/>
      <c r="AU30" s="386"/>
      <c r="AV30" s="386"/>
      <c r="AW30" s="386"/>
      <c r="AX30" s="386"/>
      <c r="AY30" s="386"/>
      <c r="AZ30" s="386"/>
      <c r="BA30" s="386"/>
      <c r="BB30" s="386"/>
      <c r="BC30" s="386"/>
      <c r="BD30" s="386"/>
      <c r="BE30" s="386"/>
      <c r="BF30" s="386"/>
      <c r="BG30" s="386"/>
      <c r="BH30" s="386"/>
      <c r="BI30" s="386"/>
      <c r="BJ30" s="386"/>
      <c r="BK30" s="386"/>
      <c r="BL30" s="386"/>
      <c r="BM30" s="386"/>
      <c r="BN30" s="386"/>
      <c r="BO30" s="386"/>
      <c r="BP30" s="386"/>
      <c r="BQ30" s="386"/>
      <c r="BR30" s="386"/>
      <c r="BS30" s="386"/>
      <c r="BT30" s="386"/>
      <c r="BU30" s="386"/>
      <c r="BV30" s="386"/>
      <c r="BW30" s="386"/>
      <c r="BX30" s="386"/>
      <c r="BY30" s="386"/>
      <c r="BZ30" s="386"/>
      <c r="CA30" s="386"/>
      <c r="CB30" s="386"/>
    </row>
    <row r="31" spans="3:86" x14ac:dyDescent="0.25"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403"/>
      <c r="AK31" s="403"/>
      <c r="AL31" s="386"/>
      <c r="AM31" s="386"/>
      <c r="AN31" s="386"/>
      <c r="AO31" s="386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86"/>
      <c r="BA31" s="386"/>
      <c r="BB31" s="386"/>
      <c r="BC31" s="386"/>
      <c r="BD31" s="386"/>
      <c r="BE31" s="386"/>
      <c r="BF31" s="386"/>
      <c r="BG31" s="386"/>
      <c r="BH31" s="386"/>
      <c r="BI31" s="386"/>
      <c r="BJ31" s="386"/>
      <c r="BK31" s="386"/>
      <c r="BL31" s="386"/>
      <c r="BM31" s="386"/>
      <c r="BN31" s="386"/>
      <c r="BO31" s="386"/>
      <c r="BP31" s="386"/>
      <c r="BQ31" s="386"/>
      <c r="BR31" s="386"/>
      <c r="BS31" s="386"/>
      <c r="BT31" s="386"/>
      <c r="BU31" s="386"/>
      <c r="BV31" s="386"/>
      <c r="BW31" s="386"/>
      <c r="BX31" s="386"/>
      <c r="BY31" s="386"/>
      <c r="BZ31" s="386"/>
      <c r="CA31" s="386"/>
      <c r="CB31" s="386"/>
      <c r="CC31" s="386"/>
      <c r="CD31" s="386"/>
    </row>
    <row r="32" spans="3:86" x14ac:dyDescent="0.25"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</row>
    <row r="33" spans="3:37" x14ac:dyDescent="0.25"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</row>
    <row r="34" spans="3:37" x14ac:dyDescent="0.25"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</row>
    <row r="35" spans="3:37" x14ac:dyDescent="0.25"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</row>
    <row r="36" spans="3:37" x14ac:dyDescent="0.25"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</row>
    <row r="37" spans="3:37" x14ac:dyDescent="0.25"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</row>
    <row r="38" spans="3:37" x14ac:dyDescent="0.25"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</row>
    <row r="39" spans="3:37" x14ac:dyDescent="0.25"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</row>
    <row r="40" spans="3:37" x14ac:dyDescent="0.25"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</row>
    <row r="41" spans="3:37" x14ac:dyDescent="0.25"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</row>
    <row r="42" spans="3:37" x14ac:dyDescent="0.25"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</row>
    <row r="43" spans="3:37" x14ac:dyDescent="0.25"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</row>
    <row r="44" spans="3:37" x14ac:dyDescent="0.25"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</row>
    <row r="45" spans="3:37" x14ac:dyDescent="0.25"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</row>
    <row r="46" spans="3:37" x14ac:dyDescent="0.25"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</row>
    <row r="47" spans="3:37" x14ac:dyDescent="0.25"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</row>
    <row r="48" spans="3:37" x14ac:dyDescent="0.25"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</row>
    <row r="49" spans="3:82" x14ac:dyDescent="0.25"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</row>
    <row r="50" spans="3:82" x14ac:dyDescent="0.25"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</row>
    <row r="51" spans="3:82" x14ac:dyDescent="0.25"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</row>
    <row r="52" spans="3:82" x14ac:dyDescent="0.25"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</row>
    <row r="53" spans="3:82" x14ac:dyDescent="0.25"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</row>
    <row r="54" spans="3:82" x14ac:dyDescent="0.25"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</row>
    <row r="55" spans="3:82" x14ac:dyDescent="0.25"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</row>
    <row r="56" spans="3:82" x14ac:dyDescent="0.25"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</row>
    <row r="57" spans="3:82" x14ac:dyDescent="0.25"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</row>
    <row r="58" spans="3:82" x14ac:dyDescent="0.25"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</row>
    <row r="59" spans="3:82" x14ac:dyDescent="0.25"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</row>
    <row r="60" spans="3:82" x14ac:dyDescent="0.25"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403"/>
      <c r="AK60" s="403"/>
      <c r="AL60" s="386"/>
      <c r="AM60" s="386"/>
      <c r="AN60" s="386"/>
      <c r="AO60" s="386"/>
      <c r="AP60" s="386"/>
      <c r="AQ60" s="386"/>
      <c r="AR60" s="386"/>
      <c r="AS60" s="386"/>
      <c r="AT60" s="386"/>
      <c r="AU60" s="386"/>
      <c r="AV60" s="386"/>
      <c r="AW60" s="386"/>
      <c r="AX60" s="386"/>
      <c r="AY60" s="386"/>
      <c r="AZ60" s="386"/>
      <c r="BA60" s="386"/>
      <c r="BB60" s="386"/>
      <c r="BC60" s="386"/>
      <c r="BD60" s="386"/>
      <c r="BE60" s="386"/>
      <c r="BF60" s="386"/>
      <c r="BG60" s="386"/>
      <c r="BH60" s="386"/>
      <c r="BI60" s="386"/>
      <c r="BJ60" s="386"/>
      <c r="BK60" s="386"/>
      <c r="BL60" s="386"/>
      <c r="BM60" s="386"/>
      <c r="BN60" s="386"/>
      <c r="BO60" s="386"/>
      <c r="BP60" s="386"/>
      <c r="BQ60" s="386"/>
      <c r="BR60" s="386"/>
      <c r="BS60" s="386"/>
      <c r="BT60" s="386"/>
      <c r="BU60" s="386"/>
      <c r="BV60" s="386"/>
      <c r="BW60" s="386"/>
      <c r="BX60" s="386"/>
      <c r="BY60" s="386"/>
      <c r="BZ60" s="386"/>
      <c r="CA60" s="386"/>
      <c r="CB60" s="386"/>
      <c r="CC60" s="386"/>
      <c r="CD60" s="386"/>
    </row>
    <row r="61" spans="3:82" x14ac:dyDescent="0.25"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</row>
    <row r="62" spans="3:82" x14ac:dyDescent="0.25"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</row>
    <row r="63" spans="3:82" x14ac:dyDescent="0.25"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</row>
    <row r="64" spans="3:82" x14ac:dyDescent="0.25"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</row>
    <row r="65" spans="3:37" x14ac:dyDescent="0.25"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</row>
    <row r="66" spans="3:37" x14ac:dyDescent="0.25"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</row>
    <row r="67" spans="3:37" x14ac:dyDescent="0.25"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</row>
    <row r="68" spans="3:37" x14ac:dyDescent="0.25"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</row>
    <row r="69" spans="3:37" x14ac:dyDescent="0.25"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</row>
    <row r="70" spans="3:37" x14ac:dyDescent="0.25"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</row>
    <row r="71" spans="3:37" x14ac:dyDescent="0.25"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</row>
    <row r="72" spans="3:37" x14ac:dyDescent="0.25"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</row>
    <row r="73" spans="3:37" x14ac:dyDescent="0.25"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</row>
    <row r="74" spans="3:37" x14ac:dyDescent="0.25"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</row>
    <row r="75" spans="3:37" x14ac:dyDescent="0.25"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</row>
    <row r="76" spans="3:37" x14ac:dyDescent="0.25"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</row>
    <row r="77" spans="3:37" x14ac:dyDescent="0.25"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</row>
    <row r="78" spans="3:37" x14ac:dyDescent="0.25"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</row>
    <row r="79" spans="3:37" x14ac:dyDescent="0.25"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</row>
    <row r="80" spans="3:37" x14ac:dyDescent="0.25"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</row>
    <row r="81" spans="3:37" x14ac:dyDescent="0.25"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</row>
    <row r="82" spans="3:37" x14ac:dyDescent="0.25"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</row>
    <row r="83" spans="3:37" x14ac:dyDescent="0.25"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</row>
    <row r="84" spans="3:37" x14ac:dyDescent="0.25"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</row>
    <row r="85" spans="3:37" x14ac:dyDescent="0.25"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</row>
    <row r="86" spans="3:37" x14ac:dyDescent="0.25"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</row>
    <row r="87" spans="3:37" x14ac:dyDescent="0.25"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</row>
  </sheetData>
  <mergeCells count="47">
    <mergeCell ref="BT17:CD17"/>
    <mergeCell ref="BT21:BZ21"/>
    <mergeCell ref="BT26:BZ26"/>
    <mergeCell ref="O9:P9"/>
    <mergeCell ref="O10:P10"/>
    <mergeCell ref="O11:P11"/>
    <mergeCell ref="R9:S9"/>
    <mergeCell ref="R10:S10"/>
    <mergeCell ref="R11:S11"/>
    <mergeCell ref="U9:V9"/>
    <mergeCell ref="U10:V10"/>
    <mergeCell ref="U11:V11"/>
    <mergeCell ref="X9:Y9"/>
    <mergeCell ref="X10:Y10"/>
    <mergeCell ref="X11:Y11"/>
    <mergeCell ref="R15:S15"/>
    <mergeCell ref="BT3:BZ3"/>
    <mergeCell ref="BS12:BY12"/>
    <mergeCell ref="X14:Y14"/>
    <mergeCell ref="X15:Y15"/>
    <mergeCell ref="U15:V15"/>
    <mergeCell ref="O15:P15"/>
    <mergeCell ref="M6:AA7"/>
    <mergeCell ref="D2:AI2"/>
    <mergeCell ref="M8:AA8"/>
    <mergeCell ref="R13:S13"/>
    <mergeCell ref="U13:V13"/>
    <mergeCell ref="U14:V14"/>
    <mergeCell ref="R14:S14"/>
    <mergeCell ref="O14:P14"/>
    <mergeCell ref="X13:Y13"/>
    <mergeCell ref="R1:V1"/>
    <mergeCell ref="CB26:CH26"/>
    <mergeCell ref="M17:Y17"/>
    <mergeCell ref="CB3:CH3"/>
    <mergeCell ref="CB21:CH21"/>
    <mergeCell ref="M3:N3"/>
    <mergeCell ref="M4:N4"/>
    <mergeCell ref="P3:Q3"/>
    <mergeCell ref="P4:Q4"/>
    <mergeCell ref="S3:T3"/>
    <mergeCell ref="S4:T4"/>
    <mergeCell ref="V3:W3"/>
    <mergeCell ref="V4:W4"/>
    <mergeCell ref="Y3:AA3"/>
    <mergeCell ref="Y4:AA4"/>
    <mergeCell ref="M5:AA5"/>
  </mergeCells>
  <dataValidations disablePrompts="1" count="1">
    <dataValidation type="list" showErrorMessage="1" errorTitle="Year 1-5" error="Enter 1-5" promptTitle="Year Selector" prompt="Select Year 1-5" sqref="S4" xr:uid="{00000000-0002-0000-1000-000000000000}">
      <formula1>"1,2,3,4,5"</formula1>
      <formula2>0</formula2>
    </dataValidation>
  </dataValidations>
  <hyperlinks>
    <hyperlink ref="R1" location="'Navigation Tab'!A1" display="Navigation Tab" xr:uid="{E01F4480-B134-403A-B94E-D2B4519CED97}"/>
  </hyperlinks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E34"/>
  <sheetViews>
    <sheetView showGridLines="0" zoomScale="115" zoomScaleNormal="115" workbookViewId="0">
      <selection activeCell="C6" sqref="C6"/>
    </sheetView>
  </sheetViews>
  <sheetFormatPr defaultColWidth="8.6640625" defaultRowHeight="13.8" x14ac:dyDescent="0.25"/>
  <cols>
    <col min="1" max="1" width="3" style="1" customWidth="1"/>
    <col min="2" max="2" width="32" style="1" customWidth="1"/>
    <col min="3" max="3" width="22" style="1" customWidth="1"/>
    <col min="4" max="4" width="18" style="1" customWidth="1"/>
    <col min="5" max="5" width="49.44140625" style="1" bestFit="1" customWidth="1"/>
    <col min="6" max="6" width="8.6640625" style="1"/>
    <col min="7" max="7" width="8.6640625" style="1" customWidth="1"/>
    <col min="8" max="16384" width="8.6640625" style="1"/>
  </cols>
  <sheetData>
    <row r="1" spans="2:5" ht="21.6" thickBot="1" x14ac:dyDescent="0.45">
      <c r="B1" s="384" t="s">
        <v>1005</v>
      </c>
    </row>
    <row r="2" spans="2:5" ht="21" x14ac:dyDescent="0.25">
      <c r="B2" s="448" t="s">
        <v>944</v>
      </c>
      <c r="C2" s="449"/>
      <c r="D2" s="449"/>
      <c r="E2" s="450"/>
    </row>
    <row r="3" spans="2:5" ht="18.600000000000001" thickBot="1" x14ac:dyDescent="0.3">
      <c r="B3" s="451" t="s">
        <v>0</v>
      </c>
      <c r="C3" s="452"/>
      <c r="D3" s="452"/>
      <c r="E3" s="453"/>
    </row>
    <row r="4" spans="2:5" ht="14.4" thickBot="1" x14ac:dyDescent="0.3"/>
    <row r="5" spans="2:5" ht="21" x14ac:dyDescent="0.25">
      <c r="B5" s="454" t="s">
        <v>1</v>
      </c>
      <c r="C5" s="455"/>
    </row>
    <row r="6" spans="2:5" ht="21.6" thickBot="1" x14ac:dyDescent="0.3">
      <c r="B6" s="24" t="s">
        <v>2</v>
      </c>
      <c r="C6" s="269" t="s">
        <v>3</v>
      </c>
      <c r="D6" s="7"/>
      <c r="E6" s="7"/>
    </row>
    <row r="7" spans="2:5" ht="14.4" thickBot="1" x14ac:dyDescent="0.3"/>
    <row r="8" spans="2:5" ht="17.399999999999999" x14ac:dyDescent="0.25">
      <c r="B8" s="445" t="s">
        <v>4</v>
      </c>
      <c r="C8" s="446"/>
      <c r="D8" s="446"/>
      <c r="E8" s="447"/>
    </row>
    <row r="9" spans="2:5" ht="15.6" x14ac:dyDescent="0.25">
      <c r="B9" s="25" t="s">
        <v>5</v>
      </c>
      <c r="C9" s="9" t="s">
        <v>6</v>
      </c>
      <c r="D9" s="9" t="s">
        <v>7</v>
      </c>
      <c r="E9" s="26" t="s">
        <v>8</v>
      </c>
    </row>
    <row r="10" spans="2:5" ht="15" x14ac:dyDescent="0.25">
      <c r="B10" s="27" t="s">
        <v>9</v>
      </c>
      <c r="C10" s="11">
        <v>100</v>
      </c>
      <c r="D10" s="10" t="s">
        <v>10</v>
      </c>
      <c r="E10" s="28" t="s">
        <v>11</v>
      </c>
    </row>
    <row r="11" spans="2:5" ht="15" x14ac:dyDescent="0.25">
      <c r="B11" s="27" t="s">
        <v>12</v>
      </c>
      <c r="C11" s="11">
        <v>50</v>
      </c>
      <c r="D11" s="10" t="s">
        <v>13</v>
      </c>
      <c r="E11" s="28" t="s">
        <v>14</v>
      </c>
    </row>
    <row r="12" spans="2:5" ht="15" x14ac:dyDescent="0.25">
      <c r="B12" s="27" t="s">
        <v>15</v>
      </c>
      <c r="C12" s="11">
        <f>C10*C11</f>
        <v>5000</v>
      </c>
      <c r="D12" s="10" t="s">
        <v>13</v>
      </c>
      <c r="E12" s="28" t="s">
        <v>16</v>
      </c>
    </row>
    <row r="13" spans="2:5" ht="15" x14ac:dyDescent="0.25">
      <c r="B13" s="27" t="s">
        <v>17</v>
      </c>
      <c r="C13" s="349">
        <v>0.8</v>
      </c>
      <c r="D13" s="10" t="s">
        <v>18</v>
      </c>
      <c r="E13" s="28" t="s">
        <v>19</v>
      </c>
    </row>
    <row r="14" spans="2:5" ht="15.6" thickBot="1" x14ac:dyDescent="0.3">
      <c r="B14" s="29" t="s">
        <v>20</v>
      </c>
      <c r="C14" s="30">
        <v>7500</v>
      </c>
      <c r="D14" s="31" t="s">
        <v>21</v>
      </c>
      <c r="E14" s="32" t="s">
        <v>22</v>
      </c>
    </row>
    <row r="15" spans="2:5" ht="15.6" thickBot="1" x14ac:dyDescent="0.3">
      <c r="B15" s="13"/>
      <c r="C15" s="13"/>
      <c r="D15" s="13"/>
      <c r="E15" s="13"/>
    </row>
    <row r="16" spans="2:5" ht="17.399999999999999" x14ac:dyDescent="0.25">
      <c r="B16" s="445" t="s">
        <v>23</v>
      </c>
      <c r="C16" s="446"/>
      <c r="D16" s="446"/>
      <c r="E16" s="447"/>
    </row>
    <row r="17" spans="2:5" ht="15.6" x14ac:dyDescent="0.25">
      <c r="B17" s="25" t="s">
        <v>5</v>
      </c>
      <c r="C17" s="9" t="s">
        <v>6</v>
      </c>
      <c r="D17" s="9" t="s">
        <v>7</v>
      </c>
      <c r="E17" s="26" t="s">
        <v>8</v>
      </c>
    </row>
    <row r="18" spans="2:5" ht="15" x14ac:dyDescent="0.25">
      <c r="B18" s="27" t="s">
        <v>24</v>
      </c>
      <c r="C18" s="14">
        <v>0.05</v>
      </c>
      <c r="D18" s="10" t="s">
        <v>18</v>
      </c>
      <c r="E18" s="28" t="s">
        <v>25</v>
      </c>
    </row>
    <row r="19" spans="2:5" ht="15" x14ac:dyDescent="0.25">
      <c r="B19" s="27" t="s">
        <v>26</v>
      </c>
      <c r="C19" s="14">
        <v>0.05</v>
      </c>
      <c r="D19" s="10" t="s">
        <v>18</v>
      </c>
      <c r="E19" s="28" t="s">
        <v>27</v>
      </c>
    </row>
    <row r="20" spans="2:5" ht="15" x14ac:dyDescent="0.25">
      <c r="B20" s="27" t="s">
        <v>28</v>
      </c>
      <c r="C20" s="14">
        <f>WACC!C13</f>
        <v>0.10500000000000001</v>
      </c>
      <c r="D20" s="10" t="s">
        <v>18</v>
      </c>
      <c r="E20" s="28" t="s">
        <v>29</v>
      </c>
    </row>
    <row r="21" spans="2:5" ht="15" x14ac:dyDescent="0.25">
      <c r="B21" s="27" t="s">
        <v>30</v>
      </c>
      <c r="C21" s="14">
        <v>0.25</v>
      </c>
      <c r="D21" s="10" t="s">
        <v>18</v>
      </c>
      <c r="E21" s="28" t="s">
        <v>31</v>
      </c>
    </row>
    <row r="22" spans="2:5" ht="15" x14ac:dyDescent="0.25">
      <c r="B22" s="27" t="s">
        <v>32</v>
      </c>
      <c r="C22" s="14">
        <v>0.1</v>
      </c>
      <c r="D22" s="10" t="s">
        <v>18</v>
      </c>
      <c r="E22" s="28" t="s">
        <v>33</v>
      </c>
    </row>
    <row r="23" spans="2:5" ht="15" x14ac:dyDescent="0.25">
      <c r="B23" s="27" t="s">
        <v>34</v>
      </c>
      <c r="C23" s="11">
        <v>7</v>
      </c>
      <c r="D23" s="10" t="s">
        <v>35</v>
      </c>
      <c r="E23" s="28" t="s">
        <v>36</v>
      </c>
    </row>
    <row r="24" spans="2:5" ht="15" x14ac:dyDescent="0.25">
      <c r="B24" s="27" t="s">
        <v>37</v>
      </c>
      <c r="C24" s="14">
        <v>0.2</v>
      </c>
      <c r="D24" s="10" t="s">
        <v>18</v>
      </c>
      <c r="E24" s="28" t="s">
        <v>38</v>
      </c>
    </row>
    <row r="25" spans="2:5" ht="15.6" thickBot="1" x14ac:dyDescent="0.3">
      <c r="B25" s="33" t="s">
        <v>39</v>
      </c>
      <c r="C25" s="34">
        <v>2</v>
      </c>
      <c r="D25" s="35" t="s">
        <v>40</v>
      </c>
      <c r="E25" s="36" t="s">
        <v>41</v>
      </c>
    </row>
    <row r="26" spans="2:5" ht="15.6" thickBot="1" x14ac:dyDescent="0.3">
      <c r="B26" s="13"/>
      <c r="C26" s="13"/>
      <c r="D26" s="13"/>
      <c r="E26" s="13"/>
    </row>
    <row r="27" spans="2:5" ht="17.399999999999999" x14ac:dyDescent="0.25">
      <c r="B27" s="445" t="s">
        <v>42</v>
      </c>
      <c r="C27" s="446"/>
      <c r="D27" s="446"/>
      <c r="E27" s="447"/>
    </row>
    <row r="28" spans="2:5" ht="15.6" x14ac:dyDescent="0.25">
      <c r="B28" s="25" t="s">
        <v>43</v>
      </c>
      <c r="C28" s="9" t="s">
        <v>44</v>
      </c>
      <c r="D28" s="9" t="s">
        <v>45</v>
      </c>
      <c r="E28" s="26" t="s">
        <v>46</v>
      </c>
    </row>
    <row r="29" spans="2:5" ht="15" x14ac:dyDescent="0.25">
      <c r="B29" s="27" t="s">
        <v>47</v>
      </c>
      <c r="C29" s="16">
        <v>5000</v>
      </c>
      <c r="D29" s="16">
        <v>10000</v>
      </c>
      <c r="E29" s="28" t="s">
        <v>48</v>
      </c>
    </row>
    <row r="30" spans="2:5" ht="15" x14ac:dyDescent="0.25">
      <c r="B30" s="27" t="s">
        <v>49</v>
      </c>
      <c r="C30" s="16">
        <v>8000</v>
      </c>
      <c r="D30" s="16">
        <v>12000</v>
      </c>
      <c r="E30" s="28" t="s">
        <v>50</v>
      </c>
    </row>
    <row r="31" spans="2:5" ht="15" x14ac:dyDescent="0.25">
      <c r="B31" s="27" t="s">
        <v>51</v>
      </c>
      <c r="C31" s="16">
        <v>400</v>
      </c>
      <c r="D31" s="16">
        <v>600</v>
      </c>
      <c r="E31" s="28" t="s">
        <v>52</v>
      </c>
    </row>
    <row r="32" spans="2:5" ht="15" x14ac:dyDescent="0.25">
      <c r="B32" s="27" t="s">
        <v>53</v>
      </c>
      <c r="C32" s="16">
        <v>50</v>
      </c>
      <c r="D32" s="16">
        <v>80</v>
      </c>
      <c r="E32" s="28" t="s">
        <v>54</v>
      </c>
    </row>
    <row r="33" spans="2:5" ht="15" x14ac:dyDescent="0.25">
      <c r="B33" s="27" t="s">
        <v>55</v>
      </c>
      <c r="C33" s="16">
        <v>1500</v>
      </c>
      <c r="D33" s="16">
        <v>2000</v>
      </c>
      <c r="E33" s="28" t="s">
        <v>56</v>
      </c>
    </row>
    <row r="34" spans="2:5" ht="15.6" thickBot="1" x14ac:dyDescent="0.3">
      <c r="B34" s="29" t="s">
        <v>57</v>
      </c>
      <c r="C34" s="37">
        <v>20000</v>
      </c>
      <c r="D34" s="37">
        <v>30000</v>
      </c>
      <c r="E34" s="32" t="s">
        <v>56</v>
      </c>
    </row>
  </sheetData>
  <mergeCells count="6">
    <mergeCell ref="B16:E16"/>
    <mergeCell ref="B27:E27"/>
    <mergeCell ref="B2:E2"/>
    <mergeCell ref="B3:E3"/>
    <mergeCell ref="B8:E8"/>
    <mergeCell ref="B5:C5"/>
  </mergeCells>
  <dataValidations count="2">
    <dataValidation type="list" sqref="C6" xr:uid="{00000000-0002-0000-0000-000000000000}">
      <formula1>"Owned,Rent"</formula1>
      <formula2>0</formula2>
    </dataValidation>
    <dataValidation type="list" sqref="C13" xr:uid="{00000000-0002-0000-0000-000001000000}">
      <formula1>"0.4,0.6,0.8"</formula1>
      <formula2>0</formula2>
    </dataValidation>
  </dataValidations>
  <hyperlinks>
    <hyperlink ref="B1" location="'Navigation Tab'!A1" display="Navigation Tab" xr:uid="{DA09B88A-E11B-4837-A5D1-0173B1280AA4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52"/>
  <sheetViews>
    <sheetView showGridLines="0" zoomScale="130" zoomScaleNormal="130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39.88671875" bestFit="1" customWidth="1"/>
    <col min="3" max="4" width="12.21875" bestFit="1" customWidth="1"/>
    <col min="5" max="5" width="15" bestFit="1" customWidth="1"/>
    <col min="6" max="6" width="61.88671875" customWidth="1"/>
  </cols>
  <sheetData>
    <row r="1" spans="2:6" ht="21" x14ac:dyDescent="0.4">
      <c r="B1" s="384" t="s">
        <v>1005</v>
      </c>
    </row>
    <row r="2" spans="2:6" ht="22.8" x14ac:dyDescent="0.3">
      <c r="B2" s="459" t="s">
        <v>58</v>
      </c>
      <c r="C2" s="459"/>
      <c r="D2" s="459"/>
      <c r="E2" s="459"/>
      <c r="F2" s="459"/>
    </row>
    <row r="3" spans="2:6" ht="17.399999999999999" x14ac:dyDescent="0.3">
      <c r="B3" s="460" t="s">
        <v>59</v>
      </c>
      <c r="C3" s="460"/>
      <c r="D3" s="460"/>
      <c r="E3" s="460"/>
      <c r="F3" s="460"/>
    </row>
    <row r="4" spans="2:6" ht="15" thickBot="1" x14ac:dyDescent="0.35"/>
    <row r="5" spans="2:6" ht="17.399999999999999" x14ac:dyDescent="0.3">
      <c r="B5" s="461" t="s">
        <v>60</v>
      </c>
      <c r="C5" s="462"/>
      <c r="D5" s="462"/>
      <c r="E5" s="462"/>
      <c r="F5" s="463"/>
    </row>
    <row r="6" spans="2:6" ht="35.4" thickBot="1" x14ac:dyDescent="0.35">
      <c r="B6" s="292" t="s">
        <v>61</v>
      </c>
      <c r="C6" s="17" t="s">
        <v>62</v>
      </c>
      <c r="D6" s="17" t="s">
        <v>63</v>
      </c>
      <c r="E6" s="18" t="s">
        <v>64</v>
      </c>
      <c r="F6" s="41" t="s">
        <v>8</v>
      </c>
    </row>
    <row r="7" spans="2:6" ht="17.399999999999999" x14ac:dyDescent="0.3">
      <c r="B7" s="456" t="s">
        <v>65</v>
      </c>
      <c r="C7" s="457"/>
      <c r="D7" s="457"/>
      <c r="E7" s="457"/>
      <c r="F7" s="458"/>
    </row>
    <row r="8" spans="2:6" ht="15" x14ac:dyDescent="0.3">
      <c r="B8" s="42" t="s">
        <v>66</v>
      </c>
      <c r="C8" s="19">
        <v>0</v>
      </c>
      <c r="D8" s="19">
        <v>65</v>
      </c>
      <c r="E8" s="20">
        <f>IF(Input!C6="Owned",C8,D8)</f>
        <v>0</v>
      </c>
      <c r="F8" s="43" t="s">
        <v>67</v>
      </c>
    </row>
    <row r="9" spans="2:6" ht="15" x14ac:dyDescent="0.3">
      <c r="B9" s="42" t="s">
        <v>68</v>
      </c>
      <c r="C9" s="19">
        <v>15000</v>
      </c>
      <c r="D9" s="19">
        <v>0</v>
      </c>
      <c r="E9" s="20">
        <f>IF(Input!C6="Owned",C9,D9)</f>
        <v>15000</v>
      </c>
      <c r="F9" s="43" t="s">
        <v>69</v>
      </c>
    </row>
    <row r="10" spans="2:6" ht="15" x14ac:dyDescent="0.3">
      <c r="B10" s="42" t="s">
        <v>70</v>
      </c>
      <c r="C10" s="19">
        <v>0</v>
      </c>
      <c r="D10" s="19">
        <v>6</v>
      </c>
      <c r="E10" s="20">
        <f>IF(Input!C6="Owned",C10,D10)</f>
        <v>0</v>
      </c>
      <c r="F10" s="43" t="s">
        <v>71</v>
      </c>
    </row>
    <row r="11" spans="2:6" ht="15" x14ac:dyDescent="0.3">
      <c r="B11" s="42" t="s">
        <v>72</v>
      </c>
      <c r="C11" s="19">
        <v>1750</v>
      </c>
      <c r="D11" s="19">
        <v>1750</v>
      </c>
      <c r="E11" s="20">
        <f>IF(Input!C6="Owned",C11,D11)</f>
        <v>1750</v>
      </c>
      <c r="F11" s="43" t="s">
        <v>73</v>
      </c>
    </row>
    <row r="12" spans="2:6" ht="15" x14ac:dyDescent="0.3">
      <c r="B12" s="42" t="s">
        <v>74</v>
      </c>
      <c r="C12" s="19">
        <v>25000</v>
      </c>
      <c r="D12" s="19">
        <v>25000</v>
      </c>
      <c r="E12" s="20">
        <f>IF(Input!C6="Owned",C12,D12)</f>
        <v>25000</v>
      </c>
      <c r="F12" s="43" t="s">
        <v>75</v>
      </c>
    </row>
    <row r="13" spans="2:6" ht="15" x14ac:dyDescent="0.3">
      <c r="B13" s="42" t="s">
        <v>76</v>
      </c>
      <c r="C13" s="19">
        <v>7.5</v>
      </c>
      <c r="D13" s="19">
        <v>7.5</v>
      </c>
      <c r="E13" s="20">
        <f>IF(Input!C6="Owned",C13,D13)</f>
        <v>7.5</v>
      </c>
      <c r="F13" s="43" t="s">
        <v>77</v>
      </c>
    </row>
    <row r="14" spans="2:6" ht="15" x14ac:dyDescent="0.3">
      <c r="B14" s="42" t="s">
        <v>78</v>
      </c>
      <c r="C14" s="19">
        <v>12.5</v>
      </c>
      <c r="D14" s="19">
        <v>12.5</v>
      </c>
      <c r="E14" s="20">
        <f>IF(Input!C6="Owned",C14,D14)</f>
        <v>12.5</v>
      </c>
      <c r="F14" s="43" t="s">
        <v>79</v>
      </c>
    </row>
    <row r="15" spans="2:6" ht="15" x14ac:dyDescent="0.3">
      <c r="B15" s="42" t="s">
        <v>80</v>
      </c>
      <c r="C15" s="19">
        <v>4</v>
      </c>
      <c r="D15" s="19">
        <v>4</v>
      </c>
      <c r="E15" s="20">
        <f>IF(Input!C6="Owned",C15,D15)</f>
        <v>4</v>
      </c>
      <c r="F15" s="43" t="s">
        <v>81</v>
      </c>
    </row>
    <row r="16" spans="2:6" ht="15.6" thickBot="1" x14ac:dyDescent="0.35">
      <c r="B16" s="44" t="s">
        <v>82</v>
      </c>
      <c r="C16" s="45">
        <v>3</v>
      </c>
      <c r="D16" s="45">
        <v>3</v>
      </c>
      <c r="E16" s="46">
        <f>IF(Input!C6="Owned",C16,D16)</f>
        <v>3</v>
      </c>
      <c r="F16" s="47" t="s">
        <v>83</v>
      </c>
    </row>
    <row r="17" spans="2:6" ht="16.2" thickBot="1" x14ac:dyDescent="0.35">
      <c r="B17" s="21"/>
      <c r="C17" s="21"/>
      <c r="D17" s="21"/>
      <c r="E17" s="21"/>
      <c r="F17" s="21"/>
    </row>
    <row r="18" spans="2:6" ht="17.399999999999999" x14ac:dyDescent="0.3">
      <c r="B18" s="456" t="s">
        <v>84</v>
      </c>
      <c r="C18" s="457"/>
      <c r="D18" s="457"/>
      <c r="E18" s="457"/>
      <c r="F18" s="458"/>
    </row>
    <row r="19" spans="2:6" ht="15" x14ac:dyDescent="0.3">
      <c r="B19" s="42" t="s">
        <v>85</v>
      </c>
      <c r="C19" s="22">
        <v>0.1</v>
      </c>
      <c r="D19" s="22">
        <v>0.1</v>
      </c>
      <c r="E19" s="23">
        <f>IF(Input!C6="Owned",C19,D19)</f>
        <v>0.1</v>
      </c>
      <c r="F19" s="43" t="s">
        <v>86</v>
      </c>
    </row>
    <row r="20" spans="2:6" ht="15" x14ac:dyDescent="0.3">
      <c r="B20" s="42" t="s">
        <v>87</v>
      </c>
      <c r="C20" s="22">
        <v>0.2</v>
      </c>
      <c r="D20" s="22">
        <v>0.2</v>
      </c>
      <c r="E20" s="23">
        <f>IF(Input!C6="Owned",C20,D20)</f>
        <v>0.2</v>
      </c>
      <c r="F20" s="43" t="s">
        <v>88</v>
      </c>
    </row>
    <row r="21" spans="2:6" ht="15" x14ac:dyDescent="0.3">
      <c r="B21" s="42" t="s">
        <v>89</v>
      </c>
      <c r="C21" s="22">
        <v>0.33</v>
      </c>
      <c r="D21" s="22">
        <v>0.33</v>
      </c>
      <c r="E21" s="23">
        <f>IF(Input!C6="Owned",C21,D21)</f>
        <v>0.33</v>
      </c>
      <c r="F21" s="43" t="s">
        <v>90</v>
      </c>
    </row>
    <row r="22" spans="2:6" ht="15" x14ac:dyDescent="0.3">
      <c r="B22" s="42" t="s">
        <v>91</v>
      </c>
      <c r="C22" s="22">
        <v>0.6</v>
      </c>
      <c r="D22" s="22">
        <v>0.6</v>
      </c>
      <c r="E22" s="23">
        <f>IF(Input!C6="Owned",C22,D22)</f>
        <v>0.6</v>
      </c>
      <c r="F22" s="43" t="s">
        <v>92</v>
      </c>
    </row>
    <row r="23" spans="2:6" ht="15.6" thickBot="1" x14ac:dyDescent="0.35">
      <c r="B23" s="48" t="s">
        <v>26</v>
      </c>
      <c r="C23" s="49">
        <v>0.05</v>
      </c>
      <c r="D23" s="49">
        <v>0.05</v>
      </c>
      <c r="E23" s="50">
        <f>Input!C19</f>
        <v>0.05</v>
      </c>
      <c r="F23" s="51" t="s">
        <v>93</v>
      </c>
    </row>
    <row r="24" spans="2:6" ht="15.6" thickBot="1" x14ac:dyDescent="0.35">
      <c r="B24" s="38"/>
      <c r="C24" s="39"/>
      <c r="D24" s="39"/>
      <c r="E24" s="40"/>
      <c r="F24" s="38"/>
    </row>
    <row r="25" spans="2:6" ht="17.399999999999999" x14ac:dyDescent="0.3">
      <c r="B25" s="456" t="s">
        <v>94</v>
      </c>
      <c r="C25" s="457"/>
      <c r="D25" s="457"/>
      <c r="E25" s="457"/>
      <c r="F25" s="458"/>
    </row>
    <row r="26" spans="2:6" ht="15" x14ac:dyDescent="0.3">
      <c r="B26" s="42" t="s">
        <v>95</v>
      </c>
      <c r="C26" s="19">
        <v>50000</v>
      </c>
      <c r="D26" s="19">
        <v>50000</v>
      </c>
      <c r="E26" s="20">
        <f>IF(Input!C6="Owned",C26,D26)</f>
        <v>50000</v>
      </c>
      <c r="F26" s="43" t="s">
        <v>96</v>
      </c>
    </row>
    <row r="27" spans="2:6" ht="15" x14ac:dyDescent="0.3">
      <c r="B27" s="42" t="s">
        <v>97</v>
      </c>
      <c r="C27" s="19">
        <v>25000</v>
      </c>
      <c r="D27" s="19">
        <v>25000</v>
      </c>
      <c r="E27" s="20">
        <f>IF(Input!C6="Owned",C27,D27)</f>
        <v>25000</v>
      </c>
      <c r="F27" s="43" t="s">
        <v>98</v>
      </c>
    </row>
    <row r="28" spans="2:6" ht="15" x14ac:dyDescent="0.3">
      <c r="B28" s="42" t="s">
        <v>99</v>
      </c>
      <c r="C28" s="19">
        <v>15000</v>
      </c>
      <c r="D28" s="19">
        <v>15000</v>
      </c>
      <c r="E28" s="20">
        <f>IF(Input!C6="Owned",C28,D28)</f>
        <v>15000</v>
      </c>
      <c r="F28" s="43" t="s">
        <v>100</v>
      </c>
    </row>
    <row r="29" spans="2:6" ht="15" x14ac:dyDescent="0.3">
      <c r="B29" s="42" t="s">
        <v>101</v>
      </c>
      <c r="C29" s="19">
        <v>14000</v>
      </c>
      <c r="D29" s="19">
        <v>14000</v>
      </c>
      <c r="E29" s="20">
        <f>IF(Input!C6="Owned",C29,D29)</f>
        <v>14000</v>
      </c>
      <c r="F29" s="43" t="s">
        <v>98</v>
      </c>
    </row>
    <row r="30" spans="2:6" ht="15" x14ac:dyDescent="0.3">
      <c r="B30" s="42" t="s">
        <v>102</v>
      </c>
      <c r="C30" s="19">
        <v>20000</v>
      </c>
      <c r="D30" s="19">
        <v>20000</v>
      </c>
      <c r="E30" s="20">
        <f>IF(Input!C6="Owned",C30,D30)</f>
        <v>20000</v>
      </c>
      <c r="F30" s="43" t="s">
        <v>103</v>
      </c>
    </row>
    <row r="31" spans="2:6" ht="15.6" thickBot="1" x14ac:dyDescent="0.35">
      <c r="B31" s="44" t="s">
        <v>104</v>
      </c>
      <c r="C31" s="45">
        <v>22000</v>
      </c>
      <c r="D31" s="45">
        <v>22000</v>
      </c>
      <c r="E31" s="46">
        <f>IF(Input!C6="Owned",C31,D31)</f>
        <v>22000</v>
      </c>
      <c r="F31" s="47" t="s">
        <v>100</v>
      </c>
    </row>
    <row r="32" spans="2:6" ht="16.2" thickBot="1" x14ac:dyDescent="0.35">
      <c r="B32" s="21"/>
      <c r="C32" s="21"/>
      <c r="D32" s="21"/>
      <c r="E32" s="21"/>
      <c r="F32" s="21"/>
    </row>
    <row r="33" spans="1:6" ht="17.399999999999999" x14ac:dyDescent="0.3">
      <c r="B33" s="456" t="s">
        <v>105</v>
      </c>
      <c r="C33" s="457"/>
      <c r="D33" s="457"/>
      <c r="E33" s="457"/>
      <c r="F33" s="458"/>
    </row>
    <row r="34" spans="1:6" ht="15" x14ac:dyDescent="0.3">
      <c r="B34" s="42" t="s">
        <v>106</v>
      </c>
      <c r="C34" s="19">
        <v>18000</v>
      </c>
      <c r="D34" s="19">
        <v>18000</v>
      </c>
      <c r="E34" s="20">
        <f>IF(Input!C6="Owned",C34,D34)</f>
        <v>18000</v>
      </c>
      <c r="F34" s="43" t="s">
        <v>107</v>
      </c>
    </row>
    <row r="35" spans="1:6" ht="15" x14ac:dyDescent="0.3">
      <c r="B35" s="42" t="s">
        <v>108</v>
      </c>
      <c r="C35" s="19">
        <v>45000</v>
      </c>
      <c r="D35" s="19">
        <v>45000</v>
      </c>
      <c r="E35" s="20">
        <f>IF(Input!C6="Owned",C35,D35)</f>
        <v>45000</v>
      </c>
      <c r="F35" s="43" t="s">
        <v>109</v>
      </c>
    </row>
    <row r="36" spans="1:6" ht="15" x14ac:dyDescent="0.3">
      <c r="B36" s="42" t="s">
        <v>110</v>
      </c>
      <c r="C36" s="19">
        <v>15000</v>
      </c>
      <c r="D36" s="19">
        <v>15000</v>
      </c>
      <c r="E36" s="20">
        <f>IF(Input!C6="Owned",C36,D36)</f>
        <v>15000</v>
      </c>
      <c r="F36" s="43" t="s">
        <v>111</v>
      </c>
    </row>
    <row r="37" spans="1:6" ht="15" x14ac:dyDescent="0.3">
      <c r="B37" s="42" t="s">
        <v>112</v>
      </c>
      <c r="C37" s="19">
        <v>20000</v>
      </c>
      <c r="D37" s="19">
        <v>20000</v>
      </c>
      <c r="E37" s="20">
        <f>IF(Input!C6="Owned",C37,D37)</f>
        <v>20000</v>
      </c>
      <c r="F37" s="43" t="s">
        <v>113</v>
      </c>
    </row>
    <row r="38" spans="1:6" ht="15" x14ac:dyDescent="0.3">
      <c r="B38" s="42" t="s">
        <v>114</v>
      </c>
      <c r="C38" s="19">
        <v>8000</v>
      </c>
      <c r="D38" s="19">
        <v>8000</v>
      </c>
      <c r="E38" s="20">
        <f>IF(Input!C6="Owned",C38,D38)</f>
        <v>8000</v>
      </c>
      <c r="F38" s="43" t="s">
        <v>115</v>
      </c>
    </row>
    <row r="39" spans="1:6" ht="15" x14ac:dyDescent="0.3">
      <c r="B39" s="42" t="s">
        <v>116</v>
      </c>
      <c r="C39" s="19">
        <v>6000</v>
      </c>
      <c r="D39" s="19">
        <v>6000</v>
      </c>
      <c r="E39" s="20">
        <f>IF(Input!C6="Owned",C39,D39)</f>
        <v>6000</v>
      </c>
      <c r="F39" s="43" t="s">
        <v>117</v>
      </c>
    </row>
    <row r="40" spans="1:6" ht="15.6" thickBot="1" x14ac:dyDescent="0.35">
      <c r="B40" s="44" t="s">
        <v>118</v>
      </c>
      <c r="C40" s="45">
        <v>3000</v>
      </c>
      <c r="D40" s="45">
        <v>3000</v>
      </c>
      <c r="E40" s="46">
        <f>IF(Input!C6="Owned",C40,D40)</f>
        <v>3000</v>
      </c>
      <c r="F40" s="47" t="s">
        <v>119</v>
      </c>
    </row>
    <row r="41" spans="1:6" ht="16.2" thickBot="1" x14ac:dyDescent="0.35">
      <c r="B41" s="21"/>
      <c r="C41" s="21"/>
      <c r="D41" s="21"/>
      <c r="E41" s="21"/>
      <c r="F41" s="21"/>
    </row>
    <row r="42" spans="1:6" ht="17.399999999999999" x14ac:dyDescent="0.3">
      <c r="B42" s="456" t="s">
        <v>120</v>
      </c>
      <c r="C42" s="457"/>
      <c r="D42" s="457"/>
      <c r="E42" s="457"/>
      <c r="F42" s="458"/>
    </row>
    <row r="43" spans="1:6" ht="15" x14ac:dyDescent="0.3">
      <c r="B43" s="42" t="s">
        <v>121</v>
      </c>
      <c r="C43" s="19">
        <v>350</v>
      </c>
      <c r="D43" s="19">
        <v>350</v>
      </c>
      <c r="E43" s="20">
        <f>IF(Input!C6="Owned",C43,D43)</f>
        <v>350</v>
      </c>
      <c r="F43" s="43" t="s">
        <v>122</v>
      </c>
    </row>
    <row r="44" spans="1:6" ht="15" x14ac:dyDescent="0.3">
      <c r="B44" s="42" t="s">
        <v>123</v>
      </c>
      <c r="C44" s="19">
        <v>200</v>
      </c>
      <c r="D44" s="19">
        <v>200</v>
      </c>
      <c r="E44" s="20">
        <f>IF(Input!C6="Owned",C44,D44)</f>
        <v>200</v>
      </c>
      <c r="F44" s="43" t="s">
        <v>124</v>
      </c>
    </row>
    <row r="45" spans="1:6" ht="15" x14ac:dyDescent="0.3">
      <c r="B45" s="42" t="s">
        <v>125</v>
      </c>
      <c r="C45" s="19">
        <v>150</v>
      </c>
      <c r="D45" s="19">
        <v>150</v>
      </c>
      <c r="E45" s="20">
        <f>IF(Input!C6="Owned",C45,D45)</f>
        <v>150</v>
      </c>
      <c r="F45" s="43" t="s">
        <v>126</v>
      </c>
    </row>
    <row r="46" spans="1:6" ht="15" x14ac:dyDescent="0.3">
      <c r="B46" s="42" t="s">
        <v>127</v>
      </c>
      <c r="C46" s="19">
        <v>120</v>
      </c>
      <c r="D46" s="19">
        <v>120</v>
      </c>
      <c r="E46" s="20">
        <f>IF(Input!C6="Owned",C46,D46)</f>
        <v>120</v>
      </c>
      <c r="F46" s="43" t="s">
        <v>128</v>
      </c>
    </row>
    <row r="47" spans="1:6" ht="15.6" thickBot="1" x14ac:dyDescent="0.35">
      <c r="B47" s="44" t="s">
        <v>129</v>
      </c>
      <c r="C47" s="45">
        <v>80</v>
      </c>
      <c r="D47" s="45">
        <v>80</v>
      </c>
      <c r="E47" s="46">
        <f>IF(Input!C6="Owned",C47,D47)</f>
        <v>80</v>
      </c>
      <c r="F47" s="47" t="s">
        <v>130</v>
      </c>
    </row>
    <row r="48" spans="1:6" ht="15.6" x14ac:dyDescent="0.3">
      <c r="A48" s="21"/>
    </row>
    <row r="50" spans="1:1" ht="15.6" x14ac:dyDescent="0.3">
      <c r="A50" s="21"/>
    </row>
    <row r="51" spans="1:1" ht="15.6" x14ac:dyDescent="0.3">
      <c r="A51" s="21"/>
    </row>
    <row r="52" spans="1:1" ht="15.6" x14ac:dyDescent="0.3">
      <c r="A52" s="21"/>
    </row>
  </sheetData>
  <mergeCells count="8">
    <mergeCell ref="B25:F25"/>
    <mergeCell ref="B33:F33"/>
    <mergeCell ref="B42:F42"/>
    <mergeCell ref="B2:F2"/>
    <mergeCell ref="B3:F3"/>
    <mergeCell ref="B5:F5"/>
    <mergeCell ref="B7:F7"/>
    <mergeCell ref="B18:F18"/>
  </mergeCells>
  <hyperlinks>
    <hyperlink ref="B1" location="'Navigation Tab'!A1" display="Navigation Tab" xr:uid="{2A13570B-AF35-4FD9-9A14-ADC39EFDFBBD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H33"/>
  <sheetViews>
    <sheetView showGridLines="0" topLeftCell="A8" zoomScale="85" zoomScaleNormal="85" workbookViewId="0">
      <selection activeCell="F21" sqref="F21"/>
    </sheetView>
  </sheetViews>
  <sheetFormatPr defaultColWidth="8.6640625" defaultRowHeight="14.4" x14ac:dyDescent="0.3"/>
  <cols>
    <col min="1" max="1" width="3" customWidth="1"/>
    <col min="2" max="2" width="36" bestFit="1" customWidth="1"/>
    <col min="3" max="3" width="18" customWidth="1"/>
    <col min="4" max="4" width="14" customWidth="1"/>
    <col min="5" max="5" width="18" customWidth="1"/>
    <col min="6" max="6" width="23" bestFit="1" customWidth="1"/>
    <col min="7" max="7" width="22" customWidth="1"/>
    <col min="8" max="8" width="72.5546875" bestFit="1" customWidth="1"/>
  </cols>
  <sheetData>
    <row r="1" spans="2:8" ht="21.6" thickBot="1" x14ac:dyDescent="0.45">
      <c r="B1" s="384" t="s">
        <v>1005</v>
      </c>
    </row>
    <row r="2" spans="2:8" ht="21" x14ac:dyDescent="0.3">
      <c r="B2" s="448" t="s">
        <v>131</v>
      </c>
      <c r="C2" s="449"/>
      <c r="D2" s="449"/>
      <c r="E2" s="449"/>
      <c r="F2" s="449"/>
      <c r="G2" s="449"/>
      <c r="H2" s="450"/>
    </row>
    <row r="3" spans="2:8" ht="18.600000000000001" thickBot="1" x14ac:dyDescent="0.35">
      <c r="B3" s="466" t="s">
        <v>132</v>
      </c>
      <c r="C3" s="467"/>
      <c r="D3" s="467"/>
      <c r="E3" s="467"/>
      <c r="F3" s="467"/>
      <c r="G3" s="467"/>
      <c r="H3" s="468"/>
    </row>
    <row r="4" spans="2:8" ht="15" thickBot="1" x14ac:dyDescent="0.35"/>
    <row r="5" spans="2:8" ht="17.399999999999999" x14ac:dyDescent="0.3">
      <c r="B5" s="472" t="s">
        <v>133</v>
      </c>
      <c r="C5" s="473"/>
      <c r="D5" s="474"/>
    </row>
    <row r="6" spans="2:8" ht="15" x14ac:dyDescent="0.3">
      <c r="B6" s="42" t="s">
        <v>134</v>
      </c>
      <c r="C6" s="52">
        <f>Input!C10</f>
        <v>100</v>
      </c>
      <c r="D6" s="43" t="s">
        <v>10</v>
      </c>
    </row>
    <row r="7" spans="2:8" ht="15" x14ac:dyDescent="0.3">
      <c r="B7" s="42" t="s">
        <v>12</v>
      </c>
      <c r="C7" s="52">
        <f>Input!C11</f>
        <v>50</v>
      </c>
      <c r="D7" s="43" t="s">
        <v>13</v>
      </c>
    </row>
    <row r="8" spans="2:8" ht="15" x14ac:dyDescent="0.3">
      <c r="B8" s="42" t="s">
        <v>135</v>
      </c>
      <c r="C8" s="52">
        <f>Input!C12</f>
        <v>5000</v>
      </c>
      <c r="D8" s="43" t="s">
        <v>13</v>
      </c>
    </row>
    <row r="9" spans="2:8" ht="15" x14ac:dyDescent="0.3">
      <c r="B9" s="42" t="s">
        <v>17</v>
      </c>
      <c r="C9" s="23">
        <f>Input!C13</f>
        <v>0.8</v>
      </c>
      <c r="D9" s="43" t="s">
        <v>18</v>
      </c>
    </row>
    <row r="10" spans="2:8" ht="15.6" thickBot="1" x14ac:dyDescent="0.35">
      <c r="B10" s="44" t="s">
        <v>136</v>
      </c>
      <c r="C10" s="63">
        <f>Input!C10*Input!C13</f>
        <v>80</v>
      </c>
      <c r="D10" s="47" t="s">
        <v>10</v>
      </c>
    </row>
    <row r="11" spans="2:8" ht="15" thickBot="1" x14ac:dyDescent="0.35"/>
    <row r="12" spans="2:8" ht="17.399999999999999" x14ac:dyDescent="0.3">
      <c r="B12" s="469" t="s">
        <v>137</v>
      </c>
      <c r="C12" s="470"/>
      <c r="D12" s="470"/>
      <c r="E12" s="470"/>
      <c r="F12" s="470"/>
      <c r="G12" s="470"/>
      <c r="H12" s="471"/>
    </row>
    <row r="13" spans="2:8" ht="31.2" x14ac:dyDescent="0.3">
      <c r="B13" s="72" t="s">
        <v>138</v>
      </c>
      <c r="C13" s="64" t="s">
        <v>139</v>
      </c>
      <c r="D13" s="64" t="s">
        <v>140</v>
      </c>
      <c r="E13" s="64" t="s">
        <v>141</v>
      </c>
      <c r="F13" s="64" t="s">
        <v>142</v>
      </c>
      <c r="G13" s="64" t="s">
        <v>143</v>
      </c>
      <c r="H13" s="73" t="s">
        <v>8</v>
      </c>
    </row>
    <row r="14" spans="2:8" ht="15" x14ac:dyDescent="0.3">
      <c r="B14" s="74" t="s">
        <v>144</v>
      </c>
      <c r="C14" s="65">
        <f>ROUND(Input!C10*Input!C13*0.45,0)</f>
        <v>36</v>
      </c>
      <c r="D14" s="66">
        <f>Input!C14</f>
        <v>7500</v>
      </c>
      <c r="E14" s="67">
        <v>1</v>
      </c>
      <c r="F14" s="68">
        <f t="shared" ref="F14:F20" si="0">C14*D14*E14</f>
        <v>270000</v>
      </c>
      <c r="G14" s="69">
        <f>IF(F21=0,"-",F14/F21)</f>
        <v>0.28938906752411575</v>
      </c>
      <c r="H14" s="75" t="s">
        <v>145</v>
      </c>
    </row>
    <row r="15" spans="2:8" ht="15" x14ac:dyDescent="0.3">
      <c r="B15" s="74" t="s">
        <v>146</v>
      </c>
      <c r="C15" s="65">
        <f>ROUND(Input!C10*Input!C13*0.3,0)</f>
        <v>24</v>
      </c>
      <c r="D15" s="66">
        <f>Input!C14*1.15</f>
        <v>8625</v>
      </c>
      <c r="E15" s="67">
        <v>1</v>
      </c>
      <c r="F15" s="68">
        <f t="shared" si="0"/>
        <v>207000</v>
      </c>
      <c r="G15" s="69">
        <f>IF(F21=0,"-",F15/F21)</f>
        <v>0.22186495176848875</v>
      </c>
      <c r="H15" s="75" t="s">
        <v>147</v>
      </c>
    </row>
    <row r="16" spans="2:8" ht="15" x14ac:dyDescent="0.3">
      <c r="B16" s="74" t="s">
        <v>148</v>
      </c>
      <c r="C16" s="65">
        <f>ROUND(Input!C10*Input!C13*0.2,0)</f>
        <v>16</v>
      </c>
      <c r="D16" s="66">
        <f>Input!C14*1.4</f>
        <v>10500</v>
      </c>
      <c r="E16" s="67">
        <v>1</v>
      </c>
      <c r="F16" s="68">
        <f t="shared" si="0"/>
        <v>168000</v>
      </c>
      <c r="G16" s="69">
        <f>IF(F21=0,"-",F16/F21)</f>
        <v>0.18006430868167203</v>
      </c>
      <c r="H16" s="75" t="s">
        <v>149</v>
      </c>
    </row>
    <row r="17" spans="2:8" ht="15" x14ac:dyDescent="0.3">
      <c r="B17" s="74" t="s">
        <v>150</v>
      </c>
      <c r="C17" s="70">
        <v>60</v>
      </c>
      <c r="D17" s="71">
        <v>1200</v>
      </c>
      <c r="E17" s="67">
        <v>1</v>
      </c>
      <c r="F17" s="68">
        <f t="shared" si="0"/>
        <v>72000</v>
      </c>
      <c r="G17" s="69">
        <f>IF(F21=0,"-",F17/F21)</f>
        <v>7.7170418006430874E-2</v>
      </c>
      <c r="H17" s="76" t="s">
        <v>151</v>
      </c>
    </row>
    <row r="18" spans="2:8" ht="15" x14ac:dyDescent="0.3">
      <c r="B18" s="74" t="s">
        <v>152</v>
      </c>
      <c r="C18" s="70">
        <v>30</v>
      </c>
      <c r="D18" s="71">
        <v>2000</v>
      </c>
      <c r="E18" s="67">
        <v>1</v>
      </c>
      <c r="F18" s="68">
        <f t="shared" si="0"/>
        <v>60000</v>
      </c>
      <c r="G18" s="69">
        <f>IF(F21=0,"-",F18/F21)</f>
        <v>6.4308681672025719E-2</v>
      </c>
      <c r="H18" s="75" t="s">
        <v>153</v>
      </c>
    </row>
    <row r="19" spans="2:8" ht="15" x14ac:dyDescent="0.3">
      <c r="B19" s="74" t="s">
        <v>154</v>
      </c>
      <c r="C19" s="70">
        <v>4</v>
      </c>
      <c r="D19" s="71">
        <v>15000</v>
      </c>
      <c r="E19" s="67">
        <v>1</v>
      </c>
      <c r="F19" s="68">
        <f t="shared" si="0"/>
        <v>60000</v>
      </c>
      <c r="G19" s="69">
        <f>IF(F21=0,"-",F19/F21)</f>
        <v>6.4308681672025719E-2</v>
      </c>
      <c r="H19" s="75" t="s">
        <v>155</v>
      </c>
    </row>
    <row r="20" spans="2:8" ht="15" x14ac:dyDescent="0.3">
      <c r="B20" s="74" t="s">
        <v>156</v>
      </c>
      <c r="C20" s="70">
        <v>8</v>
      </c>
      <c r="D20" s="71">
        <v>12000</v>
      </c>
      <c r="E20" s="67">
        <v>1</v>
      </c>
      <c r="F20" s="68">
        <f t="shared" si="0"/>
        <v>96000</v>
      </c>
      <c r="G20" s="69">
        <f>IF(F21=0,"-",F20/F21)</f>
        <v>0.10289389067524116</v>
      </c>
      <c r="H20" s="75" t="s">
        <v>157</v>
      </c>
    </row>
    <row r="21" spans="2:8" ht="16.2" thickBot="1" x14ac:dyDescent="0.35">
      <c r="B21" s="77" t="s">
        <v>158</v>
      </c>
      <c r="C21" s="78"/>
      <c r="D21" s="78"/>
      <c r="E21" s="78"/>
      <c r="F21" s="108">
        <f>SUM(F14:F20)</f>
        <v>933000</v>
      </c>
      <c r="G21" s="79">
        <f>SUM(G14:G20)</f>
        <v>1</v>
      </c>
      <c r="H21" s="60"/>
    </row>
    <row r="22" spans="2:8" ht="15" thickBot="1" x14ac:dyDescent="0.35"/>
    <row r="23" spans="2:8" ht="15.6" x14ac:dyDescent="0.3">
      <c r="B23" s="464" t="s">
        <v>159</v>
      </c>
      <c r="C23" s="465"/>
    </row>
    <row r="24" spans="2:8" ht="15" x14ac:dyDescent="0.3">
      <c r="B24" s="74" t="s">
        <v>160</v>
      </c>
      <c r="C24" s="80">
        <f>F21</f>
        <v>933000</v>
      </c>
    </row>
    <row r="25" spans="2:8" ht="15" x14ac:dyDescent="0.3">
      <c r="B25" s="74" t="s">
        <v>161</v>
      </c>
      <c r="C25" s="80">
        <f>F21*12</f>
        <v>11196000</v>
      </c>
    </row>
    <row r="26" spans="2:8" ht="15" x14ac:dyDescent="0.3">
      <c r="B26" s="74" t="s">
        <v>162</v>
      </c>
      <c r="C26" s="80">
        <f>IF(C10=0,0,F21/C10)</f>
        <v>11662.5</v>
      </c>
    </row>
    <row r="27" spans="2:8" ht="15" x14ac:dyDescent="0.3">
      <c r="B27" s="74" t="s">
        <v>163</v>
      </c>
      <c r="C27" s="80">
        <f>IF(Input!C10=0,0,F21/Input!C10)</f>
        <v>9330</v>
      </c>
    </row>
    <row r="28" spans="2:8" ht="15" x14ac:dyDescent="0.3">
      <c r="B28" s="74" t="s">
        <v>164</v>
      </c>
      <c r="C28" s="80">
        <f>F21*12*(1+Input!C18)</f>
        <v>11755800</v>
      </c>
    </row>
    <row r="29" spans="2:8" ht="15" x14ac:dyDescent="0.3">
      <c r="B29" s="74" t="s">
        <v>165</v>
      </c>
      <c r="C29" s="80">
        <f>F21*12*(1+Input!C18)^2</f>
        <v>12343590</v>
      </c>
    </row>
    <row r="30" spans="2:8" ht="15" x14ac:dyDescent="0.3">
      <c r="B30" s="81" t="s">
        <v>166</v>
      </c>
      <c r="C30" s="82">
        <f>F21*12*(1+Input!C18)^3</f>
        <v>12960769.500000002</v>
      </c>
    </row>
    <row r="31" spans="2:8" ht="15" x14ac:dyDescent="0.3">
      <c r="B31" s="81" t="s">
        <v>167</v>
      </c>
      <c r="C31" s="82">
        <f>F21*12*(1+Input!C18)^4</f>
        <v>13608807.975</v>
      </c>
    </row>
    <row r="32" spans="2:8" ht="15" x14ac:dyDescent="0.3">
      <c r="B32" s="81" t="s">
        <v>168</v>
      </c>
      <c r="C32" s="83">
        <f>IFERROR((C31/C25)^(1/4)-1,0)</f>
        <v>5.0000000000000044E-2</v>
      </c>
    </row>
    <row r="33" spans="2:3" ht="15.6" thickBot="1" x14ac:dyDescent="0.35">
      <c r="B33" s="84" t="s">
        <v>169</v>
      </c>
      <c r="C33" s="85">
        <f>C25+C28+C29+C30+C31</f>
        <v>61864967.475000001</v>
      </c>
    </row>
  </sheetData>
  <mergeCells count="5">
    <mergeCell ref="B23:C23"/>
    <mergeCell ref="B2:H2"/>
    <mergeCell ref="B3:H3"/>
    <mergeCell ref="B12:H12"/>
    <mergeCell ref="B5:D5"/>
  </mergeCells>
  <hyperlinks>
    <hyperlink ref="B1" location="'Navigation Tab'!A1" display="Navigation Tab" xr:uid="{7108B549-10DA-4479-8815-1BEB50C730A5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F84"/>
  <sheetViews>
    <sheetView showGridLines="0" tabSelected="1" zoomScale="85" zoomScaleNormal="85" workbookViewId="0">
      <selection activeCell="C7" sqref="C7"/>
    </sheetView>
  </sheetViews>
  <sheetFormatPr defaultColWidth="8.6640625" defaultRowHeight="14.4" x14ac:dyDescent="0.3"/>
  <cols>
    <col min="1" max="1" width="3" customWidth="1"/>
    <col min="2" max="2" width="42.44140625" bestFit="1" customWidth="1"/>
    <col min="3" max="3" width="27.109375" bestFit="1" customWidth="1"/>
    <col min="4" max="5" width="57.88671875" bestFit="1" customWidth="1"/>
    <col min="6" max="6" width="40.5546875" bestFit="1" customWidth="1"/>
  </cols>
  <sheetData>
    <row r="1" spans="2:6" ht="21.6" thickBot="1" x14ac:dyDescent="0.45">
      <c r="B1" s="384" t="s">
        <v>1005</v>
      </c>
    </row>
    <row r="2" spans="2:6" ht="21" x14ac:dyDescent="0.3">
      <c r="B2" s="448" t="s">
        <v>170</v>
      </c>
      <c r="C2" s="449"/>
      <c r="D2" s="449"/>
      <c r="E2" s="449"/>
      <c r="F2" s="450"/>
    </row>
    <row r="3" spans="2:6" ht="18.600000000000001" thickBot="1" x14ac:dyDescent="0.35">
      <c r="B3" s="475" t="s">
        <v>171</v>
      </c>
      <c r="C3" s="476"/>
      <c r="D3" s="476"/>
      <c r="E3" s="476"/>
      <c r="F3" s="477"/>
    </row>
    <row r="4" spans="2:6" ht="15" thickBot="1" x14ac:dyDescent="0.35"/>
    <row r="5" spans="2:6" ht="17.399999999999999" x14ac:dyDescent="0.3">
      <c r="B5" s="147" t="s">
        <v>172</v>
      </c>
      <c r="C5" s="148"/>
      <c r="D5" s="148"/>
      <c r="E5" s="148"/>
    </row>
    <row r="6" spans="2:6" ht="15.6" x14ac:dyDescent="0.3">
      <c r="B6" s="94" t="s">
        <v>173</v>
      </c>
      <c r="C6" s="53" t="s">
        <v>174</v>
      </c>
      <c r="D6" s="53" t="s">
        <v>8</v>
      </c>
      <c r="E6" s="95" t="s">
        <v>175</v>
      </c>
    </row>
    <row r="7" spans="2:6" ht="15" x14ac:dyDescent="0.3">
      <c r="B7" s="42" t="s">
        <v>176</v>
      </c>
      <c r="C7" s="54">
        <f>Input!C12*Assumptions!E11</f>
        <v>8750000</v>
      </c>
      <c r="D7" s="8" t="s">
        <v>177</v>
      </c>
      <c r="E7" s="96" t="str">
        <f>IF(Input!C6="Owned","Owned","Rent")</f>
        <v>Owned</v>
      </c>
    </row>
    <row r="8" spans="2:6" ht="15" x14ac:dyDescent="0.3">
      <c r="B8" s="42" t="s">
        <v>178</v>
      </c>
      <c r="C8" s="54">
        <f>Input!C10*Assumptions!E12</f>
        <v>2500000</v>
      </c>
      <c r="D8" s="8" t="s">
        <v>179</v>
      </c>
      <c r="E8" s="96" t="str">
        <f>IF(Input!C6="Owned","Owned","Rent")</f>
        <v>Owned</v>
      </c>
    </row>
    <row r="9" spans="2:6" ht="15" x14ac:dyDescent="0.3">
      <c r="B9" s="42" t="s">
        <v>180</v>
      </c>
      <c r="C9" s="54">
        <f>Assumptions!E13*100000</f>
        <v>750000</v>
      </c>
      <c r="D9" s="8" t="s">
        <v>181</v>
      </c>
      <c r="E9" s="96" t="str">
        <f>IF(Input!C6="Owned","Owned","Rent")</f>
        <v>Owned</v>
      </c>
    </row>
    <row r="10" spans="2:6" ht="15" x14ac:dyDescent="0.3">
      <c r="B10" s="42" t="s">
        <v>182</v>
      </c>
      <c r="C10" s="54">
        <f>Assumptions!E14*100000</f>
        <v>1250000</v>
      </c>
      <c r="D10" s="8" t="s">
        <v>183</v>
      </c>
      <c r="E10" s="96" t="str">
        <f>IF(Input!C6="Owned","Owned","Rent")</f>
        <v>Owned</v>
      </c>
    </row>
    <row r="11" spans="2:6" ht="15" x14ac:dyDescent="0.3">
      <c r="B11" s="42" t="s">
        <v>184</v>
      </c>
      <c r="C11" s="54">
        <f>Assumptions!E15*100000</f>
        <v>400000</v>
      </c>
      <c r="D11" s="8" t="s">
        <v>185</v>
      </c>
      <c r="E11" s="96" t="str">
        <f>IF(Input!C6="Owned","Owned","Rent")</f>
        <v>Owned</v>
      </c>
    </row>
    <row r="12" spans="2:6" ht="15" x14ac:dyDescent="0.3">
      <c r="B12" s="42" t="s">
        <v>186</v>
      </c>
      <c r="C12" s="54">
        <f>Assumptions!E16*100000</f>
        <v>300000</v>
      </c>
      <c r="D12" s="8" t="s">
        <v>187</v>
      </c>
      <c r="E12" s="96" t="str">
        <f>IF(Input!C6="Owned","Owned","Rent")</f>
        <v>Owned</v>
      </c>
    </row>
    <row r="13" spans="2:6" ht="15" x14ac:dyDescent="0.3">
      <c r="B13" s="42" t="s">
        <v>188</v>
      </c>
      <c r="C13" s="54">
        <f>IF(Input!C6="Rent",Input!C12*Assumptions!E8*Assumptions!E10,0)</f>
        <v>0</v>
      </c>
      <c r="D13" s="8" t="s">
        <v>189</v>
      </c>
      <c r="E13" s="96" t="str">
        <f>IF(Input!C6="Owned","Owned","Rent")</f>
        <v>Owned</v>
      </c>
    </row>
    <row r="14" spans="2:6" ht="15" x14ac:dyDescent="0.3">
      <c r="B14" s="42" t="s">
        <v>190</v>
      </c>
      <c r="C14" s="54">
        <f>IF(Input!C6="Owned",Input!C12*Assumptions!E9,0)</f>
        <v>75000000</v>
      </c>
      <c r="D14" s="8" t="s">
        <v>191</v>
      </c>
      <c r="E14" s="96" t="str">
        <f>IF(Input!C6="Owned","Owned","Rent")</f>
        <v>Owned</v>
      </c>
    </row>
    <row r="15" spans="2:6" ht="15.6" x14ac:dyDescent="0.3">
      <c r="B15" s="97" t="s">
        <v>192</v>
      </c>
      <c r="C15" s="57">
        <f>SUM(C7:C14)</f>
        <v>88950000</v>
      </c>
      <c r="D15" s="56"/>
      <c r="E15" s="98"/>
    </row>
    <row r="16" spans="2:6" ht="16.2" thickBot="1" x14ac:dyDescent="0.35">
      <c r="B16" s="44" t="s">
        <v>193</v>
      </c>
      <c r="C16" s="99">
        <f>IF(Input!C10=0,0,C15/Input!C10)</f>
        <v>889500</v>
      </c>
      <c r="D16" s="100" t="s">
        <v>194</v>
      </c>
      <c r="E16" s="60"/>
    </row>
    <row r="17" spans="2:6" ht="16.2" thickBot="1" x14ac:dyDescent="0.35">
      <c r="B17" s="21"/>
      <c r="C17" s="21"/>
      <c r="D17" s="21"/>
      <c r="E17" s="21"/>
      <c r="F17" s="21"/>
    </row>
    <row r="18" spans="2:6" ht="17.399999999999999" x14ac:dyDescent="0.3">
      <c r="B18" s="144" t="s">
        <v>195</v>
      </c>
      <c r="C18" s="145"/>
      <c r="D18" s="146"/>
    </row>
    <row r="19" spans="2:6" ht="15.6" x14ac:dyDescent="0.3">
      <c r="B19" s="94" t="s">
        <v>196</v>
      </c>
      <c r="C19" s="53" t="s">
        <v>197</v>
      </c>
      <c r="D19" s="95" t="s">
        <v>8</v>
      </c>
    </row>
    <row r="20" spans="2:6" ht="15" x14ac:dyDescent="0.3">
      <c r="B20" s="42" t="s">
        <v>198</v>
      </c>
      <c r="C20" s="54">
        <f>IF(Input!C6="Rent",Input!C12*Assumptions!E8,IFERROR(Assumptions!E9*Input!C12*Assumptions!E22*(Input!C22/12)*(1+Input!C22/12)^(Input!C23*12)/((1+Input!C22/12)^(Input!C23*12)-1),0))</f>
        <v>747053.28120986826</v>
      </c>
      <c r="D20" s="43" t="s">
        <v>199</v>
      </c>
    </row>
    <row r="21" spans="2:6" ht="15" x14ac:dyDescent="0.3">
      <c r="B21" s="42" t="s">
        <v>200</v>
      </c>
      <c r="C21" s="54">
        <f>Assumptions!E26</f>
        <v>50000</v>
      </c>
      <c r="D21" s="43" t="s">
        <v>201</v>
      </c>
    </row>
    <row r="22" spans="2:6" ht="15" x14ac:dyDescent="0.3">
      <c r="B22" s="42" t="s">
        <v>202</v>
      </c>
      <c r="C22" s="54">
        <f>Assumptions!E27*2</f>
        <v>50000</v>
      </c>
      <c r="D22" s="43" t="s">
        <v>203</v>
      </c>
    </row>
    <row r="23" spans="2:6" ht="15" x14ac:dyDescent="0.3">
      <c r="B23" s="42" t="s">
        <v>204</v>
      </c>
      <c r="C23" s="54">
        <f>Assumptions!E28</f>
        <v>15000</v>
      </c>
      <c r="D23" s="43" t="s">
        <v>205</v>
      </c>
    </row>
    <row r="24" spans="2:6" ht="15" x14ac:dyDescent="0.3">
      <c r="B24" s="42" t="s">
        <v>206</v>
      </c>
      <c r="C24" s="54">
        <f>Assumptions!E29*3</f>
        <v>42000</v>
      </c>
      <c r="D24" s="43" t="s">
        <v>207</v>
      </c>
    </row>
    <row r="25" spans="2:6" ht="15" x14ac:dyDescent="0.3">
      <c r="B25" s="42" t="s">
        <v>208</v>
      </c>
      <c r="C25" s="54">
        <f>Assumptions!E30</f>
        <v>20000</v>
      </c>
      <c r="D25" s="43" t="s">
        <v>103</v>
      </c>
    </row>
    <row r="26" spans="2:6" ht="15" x14ac:dyDescent="0.3">
      <c r="B26" s="42" t="s">
        <v>209</v>
      </c>
      <c r="C26" s="54">
        <f>Assumptions!E31</f>
        <v>22000</v>
      </c>
      <c r="D26" s="43" t="s">
        <v>100</v>
      </c>
    </row>
    <row r="27" spans="2:6" ht="15" x14ac:dyDescent="0.3">
      <c r="B27" s="42" t="s">
        <v>210</v>
      </c>
      <c r="C27" s="54">
        <f>Assumptions!E34</f>
        <v>18000</v>
      </c>
      <c r="D27" s="43" t="s">
        <v>211</v>
      </c>
    </row>
    <row r="28" spans="2:6" ht="15" x14ac:dyDescent="0.3">
      <c r="B28" s="42" t="s">
        <v>212</v>
      </c>
      <c r="C28" s="54">
        <f>Assumptions!E35</f>
        <v>45000</v>
      </c>
      <c r="D28" s="43" t="s">
        <v>213</v>
      </c>
    </row>
    <row r="29" spans="2:6" ht="15" x14ac:dyDescent="0.3">
      <c r="B29" s="42" t="s">
        <v>214</v>
      </c>
      <c r="C29" s="54">
        <f>Assumptions!E36</f>
        <v>15000</v>
      </c>
      <c r="D29" s="43" t="s">
        <v>215</v>
      </c>
    </row>
    <row r="30" spans="2:6" ht="15" x14ac:dyDescent="0.3">
      <c r="B30" s="42" t="s">
        <v>216</v>
      </c>
      <c r="C30" s="54">
        <f>Assumptions!E37</f>
        <v>20000</v>
      </c>
      <c r="D30" s="43" t="s">
        <v>217</v>
      </c>
    </row>
    <row r="31" spans="2:6" ht="15" x14ac:dyDescent="0.3">
      <c r="B31" s="42" t="s">
        <v>114</v>
      </c>
      <c r="C31" s="54">
        <f>Assumptions!E38</f>
        <v>8000</v>
      </c>
      <c r="D31" s="43" t="s">
        <v>218</v>
      </c>
    </row>
    <row r="32" spans="2:6" ht="15" x14ac:dyDescent="0.3">
      <c r="B32" s="42" t="s">
        <v>219</v>
      </c>
      <c r="C32" s="54">
        <f>Assumptions!E39</f>
        <v>6000</v>
      </c>
      <c r="D32" s="43" t="s">
        <v>220</v>
      </c>
    </row>
    <row r="33" spans="2:6" ht="15" x14ac:dyDescent="0.3">
      <c r="B33" s="150" t="s">
        <v>221</v>
      </c>
      <c r="C33" s="151">
        <f>Assumptions!E40</f>
        <v>3000</v>
      </c>
      <c r="D33" s="152" t="s">
        <v>222</v>
      </c>
    </row>
    <row r="34" spans="2:6" ht="16.2" thickBot="1" x14ac:dyDescent="0.35">
      <c r="B34" s="153" t="s">
        <v>223</v>
      </c>
      <c r="C34" s="154">
        <f>SUM(C20:C33)</f>
        <v>1061053.2812098684</v>
      </c>
      <c r="D34" s="155"/>
    </row>
    <row r="35" spans="2:6" ht="16.2" thickBot="1" x14ac:dyDescent="0.35">
      <c r="B35" s="21"/>
      <c r="C35" s="21"/>
      <c r="D35" s="21"/>
      <c r="E35" s="21"/>
      <c r="F35" s="21"/>
    </row>
    <row r="36" spans="2:6" ht="17.399999999999999" x14ac:dyDescent="0.3">
      <c r="B36" s="478" t="s">
        <v>224</v>
      </c>
      <c r="C36" s="479"/>
      <c r="D36" s="481"/>
    </row>
    <row r="37" spans="2:6" ht="15.6" x14ac:dyDescent="0.3">
      <c r="B37" s="94" t="s">
        <v>225</v>
      </c>
      <c r="C37" s="53" t="s">
        <v>226</v>
      </c>
      <c r="D37" s="95" t="s">
        <v>8</v>
      </c>
    </row>
    <row r="38" spans="2:6" ht="15" x14ac:dyDescent="0.3">
      <c r="B38" s="42" t="s">
        <v>227</v>
      </c>
      <c r="C38" s="54">
        <f>Assumptions!E43</f>
        <v>350</v>
      </c>
      <c r="D38" s="43" t="s">
        <v>228</v>
      </c>
    </row>
    <row r="39" spans="2:6" ht="15" x14ac:dyDescent="0.3">
      <c r="B39" s="42" t="s">
        <v>229</v>
      </c>
      <c r="C39" s="54">
        <f>Assumptions!E44</f>
        <v>200</v>
      </c>
      <c r="D39" s="43" t="s">
        <v>124</v>
      </c>
    </row>
    <row r="40" spans="2:6" ht="15" x14ac:dyDescent="0.3">
      <c r="B40" s="42" t="s">
        <v>230</v>
      </c>
      <c r="C40" s="54">
        <f>Assumptions!E45</f>
        <v>150</v>
      </c>
      <c r="D40" s="43" t="s">
        <v>231</v>
      </c>
    </row>
    <row r="41" spans="2:6" ht="15" x14ac:dyDescent="0.3">
      <c r="B41" s="42" t="s">
        <v>232</v>
      </c>
      <c r="C41" s="54">
        <f>Assumptions!E46</f>
        <v>120</v>
      </c>
      <c r="D41" s="43" t="s">
        <v>233</v>
      </c>
    </row>
    <row r="42" spans="2:6" ht="15" x14ac:dyDescent="0.3">
      <c r="B42" s="42" t="s">
        <v>234</v>
      </c>
      <c r="C42" s="54">
        <f>Assumptions!E47</f>
        <v>80</v>
      </c>
      <c r="D42" s="43" t="s">
        <v>130</v>
      </c>
    </row>
    <row r="43" spans="2:6" ht="16.2" thickBot="1" x14ac:dyDescent="0.35">
      <c r="B43" s="58" t="s">
        <v>235</v>
      </c>
      <c r="C43" s="59">
        <f>SUM(C38:C42)</f>
        <v>900</v>
      </c>
      <c r="D43" s="101"/>
    </row>
    <row r="44" spans="2:6" ht="16.2" thickBot="1" x14ac:dyDescent="0.35">
      <c r="B44" s="21"/>
      <c r="C44" s="21"/>
      <c r="D44" s="21"/>
      <c r="E44" s="21"/>
    </row>
    <row r="45" spans="2:6" ht="17.399999999999999" x14ac:dyDescent="0.3">
      <c r="B45" s="478" t="s">
        <v>236</v>
      </c>
      <c r="C45" s="479"/>
      <c r="D45" s="481"/>
    </row>
    <row r="46" spans="2:6" ht="15.6" x14ac:dyDescent="0.3">
      <c r="B46" s="94" t="s">
        <v>237</v>
      </c>
      <c r="C46" s="53" t="s">
        <v>174</v>
      </c>
      <c r="D46" s="95" t="s">
        <v>8</v>
      </c>
    </row>
    <row r="47" spans="2:6" ht="15" x14ac:dyDescent="0.3">
      <c r="B47" s="156" t="s">
        <v>134</v>
      </c>
      <c r="C47" s="86">
        <f>Input!C10</f>
        <v>100</v>
      </c>
      <c r="D47" s="43" t="s">
        <v>238</v>
      </c>
    </row>
    <row r="48" spans="2:6" ht="15" x14ac:dyDescent="0.3">
      <c r="B48" s="156" t="s">
        <v>239</v>
      </c>
      <c r="C48" s="55">
        <f>Input!C13</f>
        <v>0.8</v>
      </c>
      <c r="D48" s="43" t="s">
        <v>238</v>
      </c>
    </row>
    <row r="49" spans="2:5" ht="15" x14ac:dyDescent="0.3">
      <c r="B49" s="156" t="s">
        <v>240</v>
      </c>
      <c r="C49" s="86">
        <f>Input!C10*Input!C13</f>
        <v>80</v>
      </c>
      <c r="D49" s="43" t="s">
        <v>241</v>
      </c>
    </row>
    <row r="50" spans="2:5" ht="15" x14ac:dyDescent="0.3">
      <c r="B50" s="156" t="s">
        <v>242</v>
      </c>
      <c r="C50" s="54">
        <f>C43</f>
        <v>900</v>
      </c>
      <c r="D50" s="43" t="s">
        <v>243</v>
      </c>
    </row>
    <row r="51" spans="2:5" ht="15" x14ac:dyDescent="0.3">
      <c r="B51" s="156" t="s">
        <v>244</v>
      </c>
      <c r="C51" s="54">
        <f>C49*C50</f>
        <v>72000</v>
      </c>
      <c r="D51" s="43" t="s">
        <v>245</v>
      </c>
    </row>
    <row r="52" spans="2:5" ht="15" x14ac:dyDescent="0.3">
      <c r="B52" s="156" t="s">
        <v>246</v>
      </c>
      <c r="C52" s="54">
        <f>C34</f>
        <v>1061053.2812098684</v>
      </c>
      <c r="D52" s="43" t="s">
        <v>247</v>
      </c>
    </row>
    <row r="53" spans="2:5" ht="15.6" x14ac:dyDescent="0.3">
      <c r="B53" s="97" t="s">
        <v>248</v>
      </c>
      <c r="C53" s="87">
        <f>C51+C52</f>
        <v>1133053.2812098684</v>
      </c>
      <c r="D53" s="43" t="s">
        <v>249</v>
      </c>
    </row>
    <row r="54" spans="2:5" ht="15" x14ac:dyDescent="0.3">
      <c r="B54" s="156" t="s">
        <v>250</v>
      </c>
      <c r="C54" s="54">
        <f>IF(C49=0,0,C53/C49)</f>
        <v>14163.166015123355</v>
      </c>
      <c r="D54" s="43" t="s">
        <v>251</v>
      </c>
    </row>
    <row r="55" spans="2:5" ht="15.6" thickBot="1" x14ac:dyDescent="0.35">
      <c r="B55" s="157" t="s">
        <v>252</v>
      </c>
      <c r="C55" s="158">
        <f>IF(Input!C10=0,0,C53/Input!C10)</f>
        <v>11330.532812098683</v>
      </c>
      <c r="D55" s="47" t="s">
        <v>253</v>
      </c>
    </row>
    <row r="56" spans="2:5" ht="16.2" thickBot="1" x14ac:dyDescent="0.35">
      <c r="B56" s="21"/>
      <c r="C56" s="21"/>
      <c r="D56" s="21"/>
      <c r="E56" s="21"/>
    </row>
    <row r="57" spans="2:5" ht="17.399999999999999" x14ac:dyDescent="0.3">
      <c r="B57" s="147" t="s">
        <v>254</v>
      </c>
      <c r="C57" s="148"/>
      <c r="D57" s="149"/>
    </row>
    <row r="58" spans="2:5" ht="15.6" x14ac:dyDescent="0.3">
      <c r="B58" s="94" t="s">
        <v>255</v>
      </c>
      <c r="C58" s="53" t="s">
        <v>174</v>
      </c>
      <c r="D58" s="95" t="s">
        <v>8</v>
      </c>
    </row>
    <row r="59" spans="2:5" ht="15" x14ac:dyDescent="0.3">
      <c r="B59" s="156" t="s">
        <v>257</v>
      </c>
      <c r="C59" s="54">
        <f>Revenue!F21</f>
        <v>933000</v>
      </c>
      <c r="D59" s="43" t="s">
        <v>258</v>
      </c>
    </row>
    <row r="60" spans="2:5" ht="15" x14ac:dyDescent="0.3">
      <c r="B60" s="156" t="s">
        <v>259</v>
      </c>
      <c r="C60" s="54">
        <f>C53</f>
        <v>1133053.2812098684</v>
      </c>
      <c r="D60" s="43" t="s">
        <v>260</v>
      </c>
    </row>
    <row r="61" spans="2:5" ht="15.6" x14ac:dyDescent="0.3">
      <c r="B61" s="159" t="s">
        <v>261</v>
      </c>
      <c r="C61" s="88">
        <f>C59-C60</f>
        <v>-200053.28120986838</v>
      </c>
      <c r="D61" s="43" t="s">
        <v>262</v>
      </c>
    </row>
    <row r="62" spans="2:5" ht="15" x14ac:dyDescent="0.3">
      <c r="B62" s="156" t="s">
        <v>263</v>
      </c>
      <c r="C62" s="55">
        <f>IF(C59=0,0,(C59-C60)/C59)</f>
        <v>-0.21441937964616117</v>
      </c>
      <c r="D62" s="43" t="s">
        <v>264</v>
      </c>
    </row>
    <row r="63" spans="2:5" ht="15" x14ac:dyDescent="0.3">
      <c r="B63" s="156" t="s">
        <v>265</v>
      </c>
      <c r="C63" s="54">
        <f>(C7*Assumptions!E19+C8*Assumptions!E20+C9*Assumptions!E21)/12</f>
        <v>135208.33333333334</v>
      </c>
      <c r="D63" s="28" t="s">
        <v>266</v>
      </c>
    </row>
    <row r="64" spans="2:5" ht="15" x14ac:dyDescent="0.3">
      <c r="B64" s="156" t="s">
        <v>267</v>
      </c>
      <c r="C64" s="54">
        <f>C61</f>
        <v>-200053.28120986838</v>
      </c>
      <c r="D64" s="43" t="s">
        <v>268</v>
      </c>
    </row>
    <row r="65" spans="2:6" ht="15" x14ac:dyDescent="0.3">
      <c r="B65" s="156" t="s">
        <v>269</v>
      </c>
      <c r="C65" s="54">
        <f>C61-C63</f>
        <v>-335261.61454320175</v>
      </c>
      <c r="D65" s="43" t="s">
        <v>270</v>
      </c>
    </row>
    <row r="66" spans="2:6" ht="15" x14ac:dyDescent="0.3">
      <c r="B66" s="156" t="s">
        <v>271</v>
      </c>
      <c r="C66" s="54">
        <f>C15*Assumptions!E22*Input!C22/12</f>
        <v>444750</v>
      </c>
      <c r="D66" s="43" t="s">
        <v>272</v>
      </c>
    </row>
    <row r="67" spans="2:6" ht="15" x14ac:dyDescent="0.3">
      <c r="B67" s="156" t="s">
        <v>273</v>
      </c>
      <c r="C67" s="54">
        <f>C65-C66</f>
        <v>-780011.61454320175</v>
      </c>
      <c r="D67" s="43" t="s">
        <v>274</v>
      </c>
    </row>
    <row r="68" spans="2:6" ht="15" x14ac:dyDescent="0.3">
      <c r="B68" s="156" t="s">
        <v>275</v>
      </c>
      <c r="C68" s="54">
        <f>MAX(0,C67*Input!C21)</f>
        <v>0</v>
      </c>
      <c r="D68" s="43" t="s">
        <v>276</v>
      </c>
    </row>
    <row r="69" spans="2:6" ht="15.6" x14ac:dyDescent="0.3">
      <c r="B69" s="159" t="s">
        <v>277</v>
      </c>
      <c r="C69" s="88">
        <f>C67-C68</f>
        <v>-780011.61454320175</v>
      </c>
      <c r="D69" s="43" t="s">
        <v>278</v>
      </c>
    </row>
    <row r="70" spans="2:6" ht="15" x14ac:dyDescent="0.3">
      <c r="B70" s="156" t="s">
        <v>279</v>
      </c>
      <c r="C70" s="55">
        <f>IF(C59=0,0,C69/C59)</f>
        <v>-0.83602531033569316</v>
      </c>
      <c r="D70" s="43" t="s">
        <v>280</v>
      </c>
    </row>
    <row r="71" spans="2:6" ht="15" x14ac:dyDescent="0.3">
      <c r="B71" s="156" t="s">
        <v>281</v>
      </c>
      <c r="C71" s="54">
        <f>C69*12</f>
        <v>-9360139.3745184205</v>
      </c>
      <c r="D71" s="43" t="s">
        <v>282</v>
      </c>
    </row>
    <row r="72" spans="2:6" ht="15.6" x14ac:dyDescent="0.3">
      <c r="B72" s="159" t="s">
        <v>283</v>
      </c>
      <c r="C72" s="89" t="str">
        <f>IF(C69&lt;=0,"N/A (loss-making)",C15/C71)</f>
        <v>N/A (loss-making)</v>
      </c>
      <c r="D72" s="43" t="s">
        <v>284</v>
      </c>
    </row>
    <row r="73" spans="2:6" ht="15.6" x14ac:dyDescent="0.3">
      <c r="B73" s="160" t="s">
        <v>285</v>
      </c>
      <c r="C73" s="102"/>
      <c r="D73" s="161"/>
    </row>
    <row r="74" spans="2:6" ht="15" x14ac:dyDescent="0.3">
      <c r="B74" s="61" t="s">
        <v>286</v>
      </c>
      <c r="C74" s="90" t="str">
        <f>IF(ABS(Revenue!F21*12-'Revenue Model'!C14)&lt;1,"✓ Match","⚠ Mismatch")</f>
        <v>✓ Match</v>
      </c>
      <c r="D74" s="105" t="s">
        <v>287</v>
      </c>
    </row>
    <row r="75" spans="2:6" ht="15.6" thickBot="1" x14ac:dyDescent="0.35">
      <c r="B75" s="48" t="s">
        <v>288</v>
      </c>
      <c r="C75" s="162" t="str">
        <f>IF(ABS(C53-(C34+C51))&lt;1,"✓ Match","⚠ Mismatch")</f>
        <v>✓ Match</v>
      </c>
      <c r="D75" s="51" t="s">
        <v>289</v>
      </c>
    </row>
    <row r="76" spans="2:6" ht="16.2" thickBot="1" x14ac:dyDescent="0.35">
      <c r="B76" s="21"/>
      <c r="C76" s="21"/>
      <c r="D76" s="21"/>
      <c r="E76" s="21"/>
      <c r="F76" s="21"/>
    </row>
    <row r="77" spans="2:6" ht="17.399999999999999" x14ac:dyDescent="0.3">
      <c r="B77" s="478" t="s">
        <v>290</v>
      </c>
      <c r="C77" s="479"/>
      <c r="D77" s="479"/>
      <c r="E77" s="480"/>
    </row>
    <row r="78" spans="2:6" ht="15.6" x14ac:dyDescent="0.3">
      <c r="B78" s="103" t="s">
        <v>291</v>
      </c>
      <c r="C78" s="91" t="s">
        <v>292</v>
      </c>
      <c r="D78" s="91" t="s">
        <v>293</v>
      </c>
      <c r="E78" s="104" t="s">
        <v>8</v>
      </c>
    </row>
    <row r="79" spans="2:6" ht="15" x14ac:dyDescent="0.3">
      <c r="B79" s="61" t="s">
        <v>294</v>
      </c>
      <c r="C79" s="92">
        <f>C15*Assumptions!E22</f>
        <v>53370000</v>
      </c>
      <c r="D79" s="12">
        <f>C15*Assumptions!E22/12</f>
        <v>4447500</v>
      </c>
      <c r="E79" s="105" t="s">
        <v>295</v>
      </c>
    </row>
    <row r="80" spans="2:6" ht="15" x14ac:dyDescent="0.3">
      <c r="B80" s="61" t="s">
        <v>296</v>
      </c>
      <c r="C80" s="92">
        <f>C20*12</f>
        <v>8964639.3745184187</v>
      </c>
      <c r="D80" s="12">
        <f>C20</f>
        <v>747053.28120986826</v>
      </c>
      <c r="E80" s="105" t="s">
        <v>297</v>
      </c>
    </row>
    <row r="81" spans="2:5" ht="15" x14ac:dyDescent="0.3">
      <c r="B81" s="61" t="s">
        <v>298</v>
      </c>
      <c r="C81" s="92">
        <f>C15*Assumptions!E22*Input!C22</f>
        <v>5337000</v>
      </c>
      <c r="D81" s="12">
        <f>C15*Assumptions!E22*Input!C22/12</f>
        <v>444750</v>
      </c>
      <c r="E81" s="105" t="s">
        <v>299</v>
      </c>
    </row>
    <row r="82" spans="2:5" ht="15" x14ac:dyDescent="0.3">
      <c r="B82" s="61" t="s">
        <v>300</v>
      </c>
      <c r="C82" s="92">
        <f>C20*12-C15*Assumptions!E22*Input!C22</f>
        <v>3627639.3745184187</v>
      </c>
      <c r="D82" s="12">
        <f>(C20*12-C15*Assumptions!E22*Input!C22)/12</f>
        <v>302303.2812098682</v>
      </c>
      <c r="E82" s="105" t="s">
        <v>301</v>
      </c>
    </row>
    <row r="83" spans="2:5" ht="15.6" x14ac:dyDescent="0.3">
      <c r="B83" s="61" t="s">
        <v>302</v>
      </c>
      <c r="C83" s="92">
        <f>C15*Assumptions!E22-(C20*12-C15*Assumptions!E22*Input!C22)</f>
        <v>49742360.625481583</v>
      </c>
      <c r="D83" s="93" t="s">
        <v>303</v>
      </c>
      <c r="E83" s="105" t="s">
        <v>304</v>
      </c>
    </row>
    <row r="84" spans="2:5" ht="16.2" thickBot="1" x14ac:dyDescent="0.35">
      <c r="B84" s="48" t="s">
        <v>305</v>
      </c>
      <c r="C84" s="106">
        <f>C15*(1-Assumptions!E22)</f>
        <v>35580000</v>
      </c>
      <c r="D84" s="107" t="s">
        <v>303</v>
      </c>
      <c r="E84" s="51" t="s">
        <v>306</v>
      </c>
    </row>
  </sheetData>
  <mergeCells count="5">
    <mergeCell ref="B2:F2"/>
    <mergeCell ref="B3:F3"/>
    <mergeCell ref="B77:E77"/>
    <mergeCell ref="B36:D36"/>
    <mergeCell ref="B45:D45"/>
  </mergeCells>
  <hyperlinks>
    <hyperlink ref="B1" location="'Navigation Tab'!A1" display="Navigation Tab" xr:uid="{3EF571B9-3F74-4B30-80B6-2DAAD0066793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54"/>
  <sheetViews>
    <sheetView showGridLines="0" zoomScale="85" zoomScaleNormal="85" workbookViewId="0">
      <selection activeCell="B54" sqref="B54"/>
    </sheetView>
  </sheetViews>
  <sheetFormatPr defaultColWidth="8.6640625" defaultRowHeight="14.4" x14ac:dyDescent="0.3"/>
  <cols>
    <col min="1" max="1" width="3" customWidth="1"/>
    <col min="2" max="2" width="57" customWidth="1"/>
    <col min="3" max="3" width="20" customWidth="1"/>
    <col min="4" max="4" width="18" customWidth="1"/>
    <col min="5" max="5" width="21.6640625" bestFit="1" customWidth="1"/>
    <col min="6" max="6" width="21" customWidth="1"/>
    <col min="7" max="7" width="18" customWidth="1"/>
    <col min="8" max="8" width="10.109375" customWidth="1"/>
  </cols>
  <sheetData>
    <row r="1" spans="2:7" ht="21.6" thickBot="1" x14ac:dyDescent="0.45">
      <c r="B1" s="384" t="s">
        <v>1005</v>
      </c>
    </row>
    <row r="2" spans="2:7" ht="21" x14ac:dyDescent="0.3">
      <c r="B2" s="482" t="s">
        <v>307</v>
      </c>
      <c r="C2" s="483"/>
      <c r="D2" s="483"/>
      <c r="E2" s="483"/>
      <c r="F2" s="483"/>
      <c r="G2" s="484"/>
    </row>
    <row r="3" spans="2:7" ht="18" thickBot="1" x14ac:dyDescent="0.35">
      <c r="B3" s="485" t="s">
        <v>308</v>
      </c>
      <c r="C3" s="486"/>
      <c r="D3" s="486"/>
      <c r="E3" s="486"/>
      <c r="F3" s="486"/>
      <c r="G3" s="487"/>
    </row>
    <row r="4" spans="2:7" ht="15" thickBot="1" x14ac:dyDescent="0.35"/>
    <row r="5" spans="2:7" ht="17.399999999999999" x14ac:dyDescent="0.3">
      <c r="B5" s="125" t="s">
        <v>309</v>
      </c>
      <c r="C5" s="126"/>
      <c r="D5" s="127"/>
    </row>
    <row r="6" spans="2:7" ht="15.6" x14ac:dyDescent="0.3">
      <c r="B6" s="128" t="s">
        <v>5</v>
      </c>
      <c r="C6" s="122" t="s">
        <v>6</v>
      </c>
      <c r="D6" s="129" t="s">
        <v>7</v>
      </c>
    </row>
    <row r="7" spans="2:7" ht="15" x14ac:dyDescent="0.3">
      <c r="B7" s="130" t="s">
        <v>134</v>
      </c>
      <c r="C7" s="114">
        <f>Input!C10</f>
        <v>100</v>
      </c>
      <c r="D7" s="131" t="s">
        <v>10</v>
      </c>
      <c r="E7" s="143"/>
    </row>
    <row r="8" spans="2:7" ht="15" x14ac:dyDescent="0.3">
      <c r="B8" s="130" t="s">
        <v>135</v>
      </c>
      <c r="C8" s="114">
        <f>Input!C12</f>
        <v>5000</v>
      </c>
      <c r="D8" s="131" t="s">
        <v>13</v>
      </c>
      <c r="E8" s="143"/>
    </row>
    <row r="9" spans="2:7" ht="15" x14ac:dyDescent="0.3">
      <c r="B9" s="130" t="s">
        <v>12</v>
      </c>
      <c r="C9" s="114">
        <f>Input!C12/Input!C10</f>
        <v>50</v>
      </c>
      <c r="D9" s="131" t="s">
        <v>13</v>
      </c>
      <c r="E9" s="143"/>
    </row>
    <row r="10" spans="2:7" ht="15" x14ac:dyDescent="0.3">
      <c r="B10" s="130" t="s">
        <v>312</v>
      </c>
      <c r="C10" s="116">
        <f>Input!C13</f>
        <v>0.8</v>
      </c>
      <c r="D10" s="131" t="s">
        <v>18</v>
      </c>
      <c r="E10" s="143"/>
    </row>
    <row r="11" spans="2:7" ht="15" x14ac:dyDescent="0.3">
      <c r="B11" s="130" t="s">
        <v>314</v>
      </c>
      <c r="C11" s="114">
        <f>Input!C10*Input!C13</f>
        <v>80</v>
      </c>
      <c r="D11" s="131" t="s">
        <v>10</v>
      </c>
      <c r="E11" s="143"/>
    </row>
    <row r="12" spans="2:7" ht="15" x14ac:dyDescent="0.3">
      <c r="B12" s="130" t="s">
        <v>315</v>
      </c>
      <c r="C12" s="114">
        <f>Input!C10-Input!C10*Input!C13</f>
        <v>20</v>
      </c>
      <c r="D12" s="131" t="s">
        <v>10</v>
      </c>
      <c r="E12" s="143"/>
    </row>
    <row r="13" spans="2:7" ht="15" x14ac:dyDescent="0.3">
      <c r="B13" s="130" t="s">
        <v>316</v>
      </c>
      <c r="C13" s="118">
        <f>IFERROR(Revenue!F21/(Input!C10*Input!C13),0)</f>
        <v>11662.5</v>
      </c>
      <c r="D13" s="131" t="s">
        <v>317</v>
      </c>
      <c r="E13" s="143"/>
    </row>
    <row r="14" spans="2:7" ht="15.6" thickBot="1" x14ac:dyDescent="0.35">
      <c r="B14" s="33" t="s">
        <v>318</v>
      </c>
      <c r="C14" s="132">
        <f>IFERROR('Cost sheet'!C53/(Input!C10*Input!C13),0)</f>
        <v>14163.166015123355</v>
      </c>
      <c r="D14" s="36" t="s">
        <v>317</v>
      </c>
      <c r="E14" s="143"/>
    </row>
    <row r="15" spans="2:7" ht="15" thickBot="1" x14ac:dyDescent="0.35"/>
    <row r="16" spans="2:7" ht="17.399999999999999" x14ac:dyDescent="0.3">
      <c r="B16" s="488" t="s">
        <v>319</v>
      </c>
      <c r="C16" s="489"/>
      <c r="D16" s="489"/>
      <c r="E16" s="489"/>
      <c r="F16" s="490"/>
    </row>
    <row r="17" spans="2:6" ht="31.2" x14ac:dyDescent="0.3">
      <c r="B17" s="128" t="s">
        <v>320</v>
      </c>
      <c r="C17" s="122" t="s">
        <v>321</v>
      </c>
      <c r="D17" s="122" t="s">
        <v>322</v>
      </c>
      <c r="E17" s="122" t="s">
        <v>323</v>
      </c>
      <c r="F17" s="133" t="s">
        <v>324</v>
      </c>
    </row>
    <row r="18" spans="2:6" ht="15" x14ac:dyDescent="0.3">
      <c r="B18" s="61" t="s">
        <v>325</v>
      </c>
      <c r="C18" s="113">
        <f>ROUND(Input!C10*0.4,0)</f>
        <v>40</v>
      </c>
      <c r="D18" s="113">
        <f>ROUND(Input!C10*0.6,0)</f>
        <v>60</v>
      </c>
      <c r="E18" s="113">
        <f>ROUND(Input!C10*0.8,0)</f>
        <v>80</v>
      </c>
      <c r="F18" s="134">
        <f>IF(Input!C13=0.4,C18,IF(Input!C13=0.6,D18,E18))</f>
        <v>80</v>
      </c>
    </row>
    <row r="19" spans="2:6" ht="15" x14ac:dyDescent="0.3">
      <c r="B19" s="61" t="s">
        <v>326</v>
      </c>
      <c r="C19" s="113">
        <f>Input!C10-C18</f>
        <v>60</v>
      </c>
      <c r="D19" s="113">
        <f>Input!C10-D18</f>
        <v>40</v>
      </c>
      <c r="E19" s="113">
        <f>Input!C10-E18</f>
        <v>20</v>
      </c>
      <c r="F19" s="134">
        <f>IF(Input!C13=0.4,C19,IF(Input!C13=0.6,D19,E19))</f>
        <v>20</v>
      </c>
    </row>
    <row r="20" spans="2:6" ht="15" x14ac:dyDescent="0.3">
      <c r="B20" s="61" t="s">
        <v>327</v>
      </c>
      <c r="C20" s="115">
        <f>40%</f>
        <v>0.4</v>
      </c>
      <c r="D20" s="115">
        <f>60%</f>
        <v>0.6</v>
      </c>
      <c r="E20" s="115">
        <f>80%</f>
        <v>0.8</v>
      </c>
      <c r="F20" s="135">
        <f>IF(Input!C13=0.4,C20,IF(Input!C13=0.6,D20,E20))</f>
        <v>0.8</v>
      </c>
    </row>
    <row r="21" spans="2:6" ht="15" x14ac:dyDescent="0.3">
      <c r="B21" s="61" t="s">
        <v>328</v>
      </c>
      <c r="C21" s="117">
        <f>ROUND(Input!C10*0.4*0.45,0)*Input!C14</f>
        <v>135000</v>
      </c>
      <c r="D21" s="117">
        <f>ROUND(Input!C10*0.6*0.45,0)*Input!C14</f>
        <v>202500</v>
      </c>
      <c r="E21" s="117">
        <f>ROUND(Input!C10*0.8*0.45,0)*Input!C14</f>
        <v>270000</v>
      </c>
      <c r="F21" s="136">
        <f>IF(Input!C13=0.4,C21,IF(Input!C13=0.6,D21,E21))</f>
        <v>270000</v>
      </c>
    </row>
    <row r="22" spans="2:6" ht="15" x14ac:dyDescent="0.3">
      <c r="B22" s="61" t="s">
        <v>329</v>
      </c>
      <c r="C22" s="117">
        <f>ROUND(Input!C10*0.4*0.3,0)*Input!C14*1.15</f>
        <v>103499.99999999999</v>
      </c>
      <c r="D22" s="117">
        <f>ROUND(Input!C10*0.6*0.3,0)*Input!C14*1.15</f>
        <v>155250</v>
      </c>
      <c r="E22" s="117">
        <f>ROUND(Input!C10*0.8*0.3,0)*Input!C14*1.15</f>
        <v>206999.99999999997</v>
      </c>
      <c r="F22" s="136">
        <f>IF(Input!C13=0.4,C22,IF(Input!C13=0.6,D22,E22))</f>
        <v>206999.99999999997</v>
      </c>
    </row>
    <row r="23" spans="2:6" ht="15" x14ac:dyDescent="0.3">
      <c r="B23" s="61" t="s">
        <v>330</v>
      </c>
      <c r="C23" s="117">
        <f>ROUND(Input!C10*0.4*0.2,0)*Input!C14*1.4</f>
        <v>84000</v>
      </c>
      <c r="D23" s="117">
        <f>ROUND(Input!C10*0.6*0.2,0)*Input!C14*1.4</f>
        <v>125999.99999999999</v>
      </c>
      <c r="E23" s="117">
        <f>ROUND(Input!C10*0.8*0.2,0)*Input!C14*1.4</f>
        <v>168000</v>
      </c>
      <c r="F23" s="136">
        <f>IF(Input!C13=0.4,C23,IF(Input!C13=0.6,D23,E23))</f>
        <v>168000</v>
      </c>
    </row>
    <row r="24" spans="2:6" ht="15" x14ac:dyDescent="0.3">
      <c r="B24" s="61" t="s">
        <v>331</v>
      </c>
      <c r="C24" s="117">
        <f>Revenue!F17+Revenue!F18+Revenue!F19+Revenue!F20</f>
        <v>288000</v>
      </c>
      <c r="D24" s="117">
        <f>Revenue!F17+Revenue!F18+Revenue!F19+Revenue!F20</f>
        <v>288000</v>
      </c>
      <c r="E24" s="117">
        <f>Revenue!F17+Revenue!F18+Revenue!F19+Revenue!F20</f>
        <v>288000</v>
      </c>
      <c r="F24" s="136">
        <f>IF(Input!C13=0.4,C24,IF(Input!C13=0.6,D24,E24))</f>
        <v>288000</v>
      </c>
    </row>
    <row r="25" spans="2:6" ht="15.6" x14ac:dyDescent="0.3">
      <c r="B25" s="137" t="s">
        <v>158</v>
      </c>
      <c r="C25" s="119">
        <f>C21+C22+C23+C24</f>
        <v>610500</v>
      </c>
      <c r="D25" s="119">
        <f>D21+D22+D23+D24</f>
        <v>771750</v>
      </c>
      <c r="E25" s="119">
        <f>E21+E22+E23+E24</f>
        <v>933000</v>
      </c>
      <c r="F25" s="138">
        <f>IF(Input!C13=0.4,C25,IF(Input!C13=0.6,D25,E25))</f>
        <v>933000</v>
      </c>
    </row>
    <row r="26" spans="2:6" ht="15" x14ac:dyDescent="0.3">
      <c r="B26" s="61" t="s">
        <v>244</v>
      </c>
      <c r="C26" s="117">
        <f>'Cost sheet'!C43*C18</f>
        <v>36000</v>
      </c>
      <c r="D26" s="117">
        <f>'Cost sheet'!C43*D18</f>
        <v>54000</v>
      </c>
      <c r="E26" s="117">
        <f>'Cost sheet'!C43*E18</f>
        <v>72000</v>
      </c>
      <c r="F26" s="136">
        <f>IF(Input!C13=0.4,C26,IF(Input!C13=0.6,D26,E26))</f>
        <v>72000</v>
      </c>
    </row>
    <row r="27" spans="2:6" ht="15" x14ac:dyDescent="0.3">
      <c r="B27" s="61" t="s">
        <v>246</v>
      </c>
      <c r="C27" s="117">
        <f>'Cost sheet'!C34</f>
        <v>1061053.2812098684</v>
      </c>
      <c r="D27" s="117">
        <f>'Cost sheet'!C34</f>
        <v>1061053.2812098684</v>
      </c>
      <c r="E27" s="117">
        <f>'Cost sheet'!C34</f>
        <v>1061053.2812098684</v>
      </c>
      <c r="F27" s="136">
        <f>IF(Input!C13=0.4,C27,IF(Input!C13=0.6,D27,E27))</f>
        <v>1061053.2812098684</v>
      </c>
    </row>
    <row r="28" spans="2:6" ht="15.6" x14ac:dyDescent="0.3">
      <c r="B28" s="137" t="s">
        <v>248</v>
      </c>
      <c r="C28" s="119">
        <f>C26+C27</f>
        <v>1097053.2812098684</v>
      </c>
      <c r="D28" s="119">
        <f>D26+D27</f>
        <v>1115053.2812098684</v>
      </c>
      <c r="E28" s="119">
        <f>E26+E27</f>
        <v>1133053.2812098684</v>
      </c>
      <c r="F28" s="138">
        <f>IF(Input!C13=0.4,C28,IF(Input!C13=0.6,D28,E28))</f>
        <v>1133053.2812098684</v>
      </c>
    </row>
    <row r="29" spans="2:6" ht="15.6" x14ac:dyDescent="0.3">
      <c r="B29" s="130" t="s">
        <v>332</v>
      </c>
      <c r="C29" s="120">
        <f>C25-C28</f>
        <v>-486553.28120986838</v>
      </c>
      <c r="D29" s="120">
        <f>D25-D28</f>
        <v>-343303.28120986838</v>
      </c>
      <c r="E29" s="120">
        <f>E25-E28</f>
        <v>-200053.28120986838</v>
      </c>
      <c r="F29" s="139">
        <f>IF(Input!C13=0.4,C29,IF(Input!C13=0.6,D29,E29))</f>
        <v>-200053.28120986838</v>
      </c>
    </row>
    <row r="30" spans="2:6" ht="15" x14ac:dyDescent="0.3">
      <c r="B30" s="130" t="s">
        <v>333</v>
      </c>
      <c r="C30" s="121">
        <f>IFERROR(C29/C25,0)</f>
        <v>-0.796975071596836</v>
      </c>
      <c r="D30" s="121">
        <f>IFERROR(D29/D25,0)</f>
        <v>-0.4448374230124631</v>
      </c>
      <c r="E30" s="121">
        <f>IFERROR(E29/E25,0)</f>
        <v>-0.21441937964616117</v>
      </c>
      <c r="F30" s="135">
        <f>IF(Input!C13=0.4,C30,IF(Input!C13=0.6,D30,E30))</f>
        <v>-0.21441937964616117</v>
      </c>
    </row>
    <row r="31" spans="2:6" ht="15.6" thickBot="1" x14ac:dyDescent="0.35">
      <c r="B31" s="33" t="s">
        <v>334</v>
      </c>
      <c r="C31" s="140">
        <f>C25-C26</f>
        <v>574500</v>
      </c>
      <c r="D31" s="140">
        <f>D25-D26</f>
        <v>717750</v>
      </c>
      <c r="E31" s="140">
        <f>E25-E26</f>
        <v>861000</v>
      </c>
      <c r="F31" s="141">
        <f>IF(Input!C13=0.4,C31,IF(Input!C13=0.6,D31,E31))</f>
        <v>861000</v>
      </c>
    </row>
    <row r="32" spans="2:6" ht="15" thickBot="1" x14ac:dyDescent="0.35"/>
    <row r="33" spans="2:8" ht="17.399999999999999" x14ac:dyDescent="0.3">
      <c r="B33" s="488" t="s">
        <v>335</v>
      </c>
      <c r="C33" s="489"/>
      <c r="D33" s="489"/>
      <c r="E33" s="489"/>
      <c r="F33" s="490"/>
    </row>
    <row r="34" spans="2:8" ht="31.2" x14ac:dyDescent="0.3">
      <c r="B34" s="128" t="s">
        <v>336</v>
      </c>
      <c r="C34" s="122" t="s">
        <v>337</v>
      </c>
      <c r="D34" s="122" t="s">
        <v>338</v>
      </c>
      <c r="E34" s="122" t="s">
        <v>339</v>
      </c>
      <c r="F34" s="129" t="s">
        <v>340</v>
      </c>
    </row>
    <row r="35" spans="2:8" ht="15" x14ac:dyDescent="0.3">
      <c r="B35" s="130" t="s">
        <v>341</v>
      </c>
      <c r="C35" s="117">
        <f>C25*12</f>
        <v>7326000</v>
      </c>
      <c r="D35" s="117">
        <f>D25*12</f>
        <v>9261000</v>
      </c>
      <c r="E35" s="117">
        <f>E25*12</f>
        <v>11196000</v>
      </c>
      <c r="F35" s="136">
        <f>IF(Input!C13=0.4,C35,IF(Input!C13=0.6,D35,E35))</f>
        <v>11196000</v>
      </c>
    </row>
    <row r="36" spans="2:8" ht="15" x14ac:dyDescent="0.3">
      <c r="B36" s="130" t="s">
        <v>342</v>
      </c>
      <c r="C36" s="117">
        <f>C25*12*(1+Input!C18)^1</f>
        <v>7692300</v>
      </c>
      <c r="D36" s="117">
        <f>D25*12*(1+Input!C18)^1</f>
        <v>9724050</v>
      </c>
      <c r="E36" s="117">
        <f>E25*12*(1+Input!C18)^1</f>
        <v>11755800</v>
      </c>
      <c r="F36" s="136">
        <f>IF(Input!C13=0.4,C36,IF(Input!C13=0.6,D36,E36))</f>
        <v>11755800</v>
      </c>
    </row>
    <row r="37" spans="2:8" ht="15" x14ac:dyDescent="0.3">
      <c r="B37" s="130" t="s">
        <v>343</v>
      </c>
      <c r="C37" s="117">
        <f>C25*12*(1+Input!C18)^2</f>
        <v>8076915</v>
      </c>
      <c r="D37" s="117">
        <f>D25*12*(1+Input!C18)^2</f>
        <v>10210252.5</v>
      </c>
      <c r="E37" s="117">
        <f>E25*12*(1+Input!C18)^2</f>
        <v>12343590</v>
      </c>
      <c r="F37" s="136">
        <f>IF(Input!C13=0.4,C37,IF(Input!C13=0.6,D37,E37))</f>
        <v>12343590</v>
      </c>
    </row>
    <row r="38" spans="2:8" ht="15" x14ac:dyDescent="0.3">
      <c r="B38" s="130" t="s">
        <v>344</v>
      </c>
      <c r="C38" s="117">
        <f>C25*12*(1+Input!C18)^3</f>
        <v>8480760.75</v>
      </c>
      <c r="D38" s="117">
        <f>D25*12*(1+Input!C18)^3</f>
        <v>10720765.125000002</v>
      </c>
      <c r="E38" s="117">
        <f>E25*12*(1+Input!C18)^3</f>
        <v>12960769.500000002</v>
      </c>
      <c r="F38" s="136">
        <f>IF(Input!C13=0.4,C38,IF(Input!C13=0.6,D38,E38))</f>
        <v>12960769.500000002</v>
      </c>
    </row>
    <row r="39" spans="2:8" ht="15.6" thickBot="1" x14ac:dyDescent="0.35">
      <c r="B39" s="33" t="s">
        <v>345</v>
      </c>
      <c r="C39" s="142">
        <f>C25*12*(1+Input!C18)^4</f>
        <v>8904798.7874999996</v>
      </c>
      <c r="D39" s="142">
        <f>D25*12*(1+Input!C18)^4</f>
        <v>11256803.38125</v>
      </c>
      <c r="E39" s="142">
        <f>E25*12*(1+Input!C18)^4</f>
        <v>13608807.975</v>
      </c>
      <c r="F39" s="141">
        <f>IF(Input!C13=0.4,C39,IF(Input!C13=0.6,D39,E39))</f>
        <v>13608807.975</v>
      </c>
    </row>
    <row r="41" spans="2:8" ht="15" thickBot="1" x14ac:dyDescent="0.35"/>
    <row r="42" spans="2:8" ht="17.399999999999999" x14ac:dyDescent="0.3">
      <c r="B42" s="497" t="s">
        <v>346</v>
      </c>
      <c r="C42" s="498"/>
      <c r="D42" s="498"/>
      <c r="E42" s="498"/>
      <c r="F42" s="498"/>
      <c r="G42" s="498"/>
      <c r="H42" s="499"/>
    </row>
    <row r="43" spans="2:8" ht="15.6" x14ac:dyDescent="0.3">
      <c r="B43" s="128" t="s">
        <v>255</v>
      </c>
      <c r="C43" s="122" t="s">
        <v>6</v>
      </c>
      <c r="D43" s="122" t="s">
        <v>7</v>
      </c>
      <c r="E43" s="503" t="s">
        <v>256</v>
      </c>
      <c r="F43" s="504"/>
      <c r="G43" s="504"/>
      <c r="H43" s="505"/>
    </row>
    <row r="44" spans="2:8" ht="15" customHeight="1" x14ac:dyDescent="0.3">
      <c r="B44" s="130" t="s">
        <v>347</v>
      </c>
      <c r="C44" s="118">
        <f>IFERROR(Revenue!F21/Input!C10,0)</f>
        <v>9330</v>
      </c>
      <c r="D44" s="15" t="s">
        <v>317</v>
      </c>
      <c r="E44" s="491" t="s">
        <v>348</v>
      </c>
      <c r="F44" s="492"/>
      <c r="G44" s="492"/>
      <c r="H44" s="493"/>
    </row>
    <row r="45" spans="2:8" ht="15" x14ac:dyDescent="0.3">
      <c r="B45" s="130" t="s">
        <v>349</v>
      </c>
      <c r="C45" s="118">
        <f>IFERROR(Revenue!F21/(Input!C10*Input!C13),0)</f>
        <v>11662.5</v>
      </c>
      <c r="D45" s="15" t="s">
        <v>317</v>
      </c>
      <c r="E45" s="491" t="s">
        <v>350</v>
      </c>
      <c r="F45" s="492"/>
      <c r="G45" s="492"/>
      <c r="H45" s="493"/>
    </row>
    <row r="46" spans="2:8" ht="15" x14ac:dyDescent="0.3">
      <c r="B46" s="130" t="s">
        <v>351</v>
      </c>
      <c r="C46" s="123">
        <f>IFERROR('Cost sheet'!C53/(Input!C10*Input!C13),0)</f>
        <v>14163.166015123355</v>
      </c>
      <c r="D46" s="15" t="s">
        <v>317</v>
      </c>
      <c r="E46" s="491" t="s">
        <v>352</v>
      </c>
      <c r="F46" s="492"/>
      <c r="G46" s="492"/>
      <c r="H46" s="493"/>
    </row>
    <row r="47" spans="2:8" ht="15" customHeight="1" x14ac:dyDescent="0.3">
      <c r="B47" s="130" t="s">
        <v>353</v>
      </c>
      <c r="C47" s="123">
        <f>'Cost sheet'!C43</f>
        <v>900</v>
      </c>
      <c r="D47" s="15" t="s">
        <v>317</v>
      </c>
      <c r="E47" s="491" t="s">
        <v>354</v>
      </c>
      <c r="F47" s="492"/>
      <c r="G47" s="492"/>
      <c r="H47" s="493"/>
    </row>
    <row r="48" spans="2:8" ht="15" customHeight="1" x14ac:dyDescent="0.3">
      <c r="B48" s="130" t="s">
        <v>355</v>
      </c>
      <c r="C48" s="118">
        <f>IFERROR(Revenue!F21/(Input!C10*Input!C13)-'Cost sheet'!C43,0)</f>
        <v>10762.5</v>
      </c>
      <c r="D48" s="15" t="s">
        <v>317</v>
      </c>
      <c r="E48" s="491" t="s">
        <v>356</v>
      </c>
      <c r="F48" s="492"/>
      <c r="G48" s="492"/>
      <c r="H48" s="493"/>
    </row>
    <row r="49" spans="2:8" ht="15" customHeight="1" x14ac:dyDescent="0.3">
      <c r="B49" s="130" t="s">
        <v>357</v>
      </c>
      <c r="C49" s="123">
        <f>IFERROR('Cost sheet'!C34/(Input!C10*Input!C13)+'Cost sheet'!C43,0)</f>
        <v>14163.166015123355</v>
      </c>
      <c r="D49" s="15" t="s">
        <v>317</v>
      </c>
      <c r="E49" s="491" t="s">
        <v>358</v>
      </c>
      <c r="F49" s="492"/>
      <c r="G49" s="492"/>
      <c r="H49" s="493"/>
    </row>
    <row r="50" spans="2:8" ht="15" customHeight="1" x14ac:dyDescent="0.3">
      <c r="B50" s="130" t="s">
        <v>359</v>
      </c>
      <c r="C50" s="124">
        <f>IFERROR(ROUND('Cost sheet'!C34/(Input!C14-'Cost sheet'!C43),0),0)</f>
        <v>161</v>
      </c>
      <c r="D50" s="15" t="s">
        <v>10</v>
      </c>
      <c r="E50" s="494" t="s">
        <v>360</v>
      </c>
      <c r="F50" s="495"/>
      <c r="G50" s="495"/>
      <c r="H50" s="496"/>
    </row>
    <row r="51" spans="2:8" ht="15.6" customHeight="1" thickBot="1" x14ac:dyDescent="0.35">
      <c r="B51" s="33" t="s">
        <v>361</v>
      </c>
      <c r="C51" s="164">
        <f>IFERROR(ROUND('Cost sheet'!C34/(Input!C14-'Cost sheet'!C43),0)/Input!C10,0)</f>
        <v>1.61</v>
      </c>
      <c r="D51" s="35" t="s">
        <v>18</v>
      </c>
      <c r="E51" s="500" t="s">
        <v>362</v>
      </c>
      <c r="F51" s="501"/>
      <c r="G51" s="501"/>
      <c r="H51" s="502"/>
    </row>
    <row r="54" spans="2:8" ht="21" x14ac:dyDescent="0.4">
      <c r="B54" s="163" t="s">
        <v>363</v>
      </c>
    </row>
  </sheetData>
  <mergeCells count="14">
    <mergeCell ref="E49:H49"/>
    <mergeCell ref="E50:H50"/>
    <mergeCell ref="B42:H42"/>
    <mergeCell ref="E51:H51"/>
    <mergeCell ref="E43:H43"/>
    <mergeCell ref="E44:H44"/>
    <mergeCell ref="E45:H45"/>
    <mergeCell ref="E46:H46"/>
    <mergeCell ref="E47:H47"/>
    <mergeCell ref="B2:G2"/>
    <mergeCell ref="B3:G3"/>
    <mergeCell ref="B33:F33"/>
    <mergeCell ref="B16:F16"/>
    <mergeCell ref="E48:H48"/>
  </mergeCells>
  <hyperlinks>
    <hyperlink ref="B1" location="'Navigation Tab'!A1" display="Navigation Tab" xr:uid="{C95C3410-7BF6-4D3E-BF87-45C6000B6C8A}"/>
  </hyperlink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H40"/>
  <sheetViews>
    <sheetView showGridLines="0" topLeftCell="B1" zoomScaleNormal="100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34" customWidth="1"/>
    <col min="3" max="3" width="20" customWidth="1"/>
    <col min="4" max="8" width="18" customWidth="1"/>
  </cols>
  <sheetData>
    <row r="1" spans="2:8" ht="21.6" thickBot="1" x14ac:dyDescent="0.45">
      <c r="B1" s="384" t="s">
        <v>1005</v>
      </c>
    </row>
    <row r="2" spans="2:8" ht="21" x14ac:dyDescent="0.3">
      <c r="B2" s="482" t="s">
        <v>364</v>
      </c>
      <c r="C2" s="483"/>
      <c r="D2" s="483"/>
      <c r="E2" s="483"/>
      <c r="F2" s="483"/>
      <c r="G2" s="483"/>
      <c r="H2" s="484"/>
    </row>
    <row r="3" spans="2:8" ht="18.600000000000001" thickBot="1" x14ac:dyDescent="0.35">
      <c r="B3" s="475" t="s">
        <v>365</v>
      </c>
      <c r="C3" s="476"/>
      <c r="D3" s="476"/>
      <c r="E3" s="476"/>
      <c r="F3" s="476"/>
      <c r="G3" s="476"/>
      <c r="H3" s="477"/>
    </row>
    <row r="4" spans="2:8" ht="15" thickBot="1" x14ac:dyDescent="0.35"/>
    <row r="5" spans="2:8" ht="17.399999999999999" x14ac:dyDescent="0.3">
      <c r="B5" s="488" t="s">
        <v>366</v>
      </c>
      <c r="C5" s="489"/>
      <c r="D5" s="489"/>
      <c r="E5" s="489"/>
      <c r="F5" s="489"/>
      <c r="G5" s="489"/>
      <c r="H5" s="490"/>
    </row>
    <row r="6" spans="2:8" ht="15.6" x14ac:dyDescent="0.3">
      <c r="B6" s="167" t="s">
        <v>138</v>
      </c>
      <c r="C6" s="112" t="s">
        <v>341</v>
      </c>
      <c r="D6" s="112" t="s">
        <v>342</v>
      </c>
      <c r="E6" s="112" t="s">
        <v>343</v>
      </c>
      <c r="F6" s="112" t="s">
        <v>344</v>
      </c>
      <c r="G6" s="112" t="s">
        <v>345</v>
      </c>
      <c r="H6" s="165" t="s">
        <v>367</v>
      </c>
    </row>
    <row r="7" spans="2:8" ht="15" x14ac:dyDescent="0.3">
      <c r="B7" s="130" t="s">
        <v>144</v>
      </c>
      <c r="C7" s="110">
        <f>Revenue!F14*12</f>
        <v>3240000</v>
      </c>
      <c r="D7" s="92">
        <f>C7*(1+Input!C18)</f>
        <v>3402000</v>
      </c>
      <c r="E7" s="92">
        <f>D7*(1+Input!C18)</f>
        <v>3572100</v>
      </c>
      <c r="F7" s="92">
        <f>E7*(1+Input!C18)</f>
        <v>3750705</v>
      </c>
      <c r="G7" s="92">
        <f>F7*(1+Input!C18)</f>
        <v>3938240.25</v>
      </c>
      <c r="H7" s="62">
        <f t="shared" ref="H7:H13" si="0">SUM(C7:G7)</f>
        <v>17903045.25</v>
      </c>
    </row>
    <row r="8" spans="2:8" ht="15" x14ac:dyDescent="0.3">
      <c r="B8" s="130" t="s">
        <v>146</v>
      </c>
      <c r="C8" s="110">
        <f>Revenue!F15*12</f>
        <v>2484000</v>
      </c>
      <c r="D8" s="92">
        <f>C8*(1+Input!C18)</f>
        <v>2608200</v>
      </c>
      <c r="E8" s="92">
        <f>D8*(1+Input!C18)</f>
        <v>2738610</v>
      </c>
      <c r="F8" s="92">
        <f>E8*(1+Input!C18)</f>
        <v>2875540.5</v>
      </c>
      <c r="G8" s="92">
        <f>F8*(1+Input!C18)</f>
        <v>3019317.5249999999</v>
      </c>
      <c r="H8" s="62">
        <f t="shared" si="0"/>
        <v>13725668.025</v>
      </c>
    </row>
    <row r="9" spans="2:8" ht="15" x14ac:dyDescent="0.3">
      <c r="B9" s="130" t="s">
        <v>368</v>
      </c>
      <c r="C9" s="110">
        <f>Revenue!F16*12</f>
        <v>2016000</v>
      </c>
      <c r="D9" s="92">
        <f>C9*(1+Input!C18)</f>
        <v>2116800</v>
      </c>
      <c r="E9" s="92">
        <f>D9*(1+Input!C18)</f>
        <v>2222640</v>
      </c>
      <c r="F9" s="92">
        <f>E9*(1+Input!C18)</f>
        <v>2333772</v>
      </c>
      <c r="G9" s="92">
        <f>F9*(1+Input!C18)</f>
        <v>2450460.6</v>
      </c>
      <c r="H9" s="62">
        <f t="shared" si="0"/>
        <v>11139672.6</v>
      </c>
    </row>
    <row r="10" spans="2:8" ht="15" x14ac:dyDescent="0.3">
      <c r="B10" s="130" t="s">
        <v>369</v>
      </c>
      <c r="C10" s="110">
        <f>Revenue!F17*12</f>
        <v>864000</v>
      </c>
      <c r="D10" s="92">
        <f>C10*(1+Input!C18)</f>
        <v>907200</v>
      </c>
      <c r="E10" s="92">
        <f>D10*(1+Input!C18)</f>
        <v>952560</v>
      </c>
      <c r="F10" s="92">
        <f>E10*(1+Input!C18)</f>
        <v>1000188</v>
      </c>
      <c r="G10" s="92">
        <f>F10*(1+Input!C18)</f>
        <v>1050197.4000000001</v>
      </c>
      <c r="H10" s="62">
        <f t="shared" si="0"/>
        <v>4774145.4000000004</v>
      </c>
    </row>
    <row r="11" spans="2:8" ht="15" x14ac:dyDescent="0.3">
      <c r="B11" s="130" t="s">
        <v>152</v>
      </c>
      <c r="C11" s="110">
        <f>Revenue!F18*12</f>
        <v>720000</v>
      </c>
      <c r="D11" s="92">
        <f>C11*(1+Input!C18)</f>
        <v>756000</v>
      </c>
      <c r="E11" s="92">
        <f>D11*(1+Input!C18)</f>
        <v>793800</v>
      </c>
      <c r="F11" s="92">
        <f>E11*(1+Input!C18)</f>
        <v>833490</v>
      </c>
      <c r="G11" s="92">
        <f>F11*(1+Input!C18)</f>
        <v>875164.5</v>
      </c>
      <c r="H11" s="62">
        <f t="shared" si="0"/>
        <v>3978454.5</v>
      </c>
    </row>
    <row r="12" spans="2:8" ht="15" x14ac:dyDescent="0.3">
      <c r="B12" s="130" t="s">
        <v>154</v>
      </c>
      <c r="C12" s="110">
        <f>Revenue!F19*12</f>
        <v>720000</v>
      </c>
      <c r="D12" s="92">
        <f>C12*(1+Input!C18)</f>
        <v>756000</v>
      </c>
      <c r="E12" s="92">
        <f>D12*(1+Input!C18)</f>
        <v>793800</v>
      </c>
      <c r="F12" s="92">
        <f>E12*(1+Input!C18)</f>
        <v>833490</v>
      </c>
      <c r="G12" s="92">
        <f>F12*(1+Input!C18)</f>
        <v>875164.5</v>
      </c>
      <c r="H12" s="62">
        <f t="shared" si="0"/>
        <v>3978454.5</v>
      </c>
    </row>
    <row r="13" spans="2:8" ht="15" x14ac:dyDescent="0.3">
      <c r="B13" s="130" t="s">
        <v>370</v>
      </c>
      <c r="C13" s="110">
        <f>Revenue!F20*12</f>
        <v>1152000</v>
      </c>
      <c r="D13" s="92">
        <f>C13*(1+Input!C18)</f>
        <v>1209600</v>
      </c>
      <c r="E13" s="92">
        <f>D13*(1+Input!C18)</f>
        <v>1270080</v>
      </c>
      <c r="F13" s="92">
        <f>E13*(1+Input!C18)</f>
        <v>1333584</v>
      </c>
      <c r="G13" s="92">
        <f>F13*(1+Input!C18)</f>
        <v>1400263.2</v>
      </c>
      <c r="H13" s="62">
        <f t="shared" si="0"/>
        <v>6365527.2000000002</v>
      </c>
    </row>
    <row r="14" spans="2:8" ht="15.6" x14ac:dyDescent="0.3">
      <c r="B14" s="176" t="s">
        <v>371</v>
      </c>
      <c r="C14" s="166">
        <f t="shared" ref="C14:H14" si="1">SUM(C7:C13)</f>
        <v>11196000</v>
      </c>
      <c r="D14" s="166">
        <f t="shared" si="1"/>
        <v>11755800</v>
      </c>
      <c r="E14" s="166">
        <f t="shared" si="1"/>
        <v>12343590</v>
      </c>
      <c r="F14" s="166">
        <f t="shared" si="1"/>
        <v>12960769.5</v>
      </c>
      <c r="G14" s="166">
        <f t="shared" si="1"/>
        <v>13608807.975</v>
      </c>
      <c r="H14" s="177">
        <f t="shared" si="1"/>
        <v>61864967.475000001</v>
      </c>
    </row>
    <row r="15" spans="2:8" ht="15.6" thickBot="1" x14ac:dyDescent="0.35">
      <c r="B15" s="33" t="s">
        <v>372</v>
      </c>
      <c r="C15" s="178" t="s">
        <v>303</v>
      </c>
      <c r="D15" s="179">
        <f>IFERROR((D14-C14)/C14,0)</f>
        <v>0.05</v>
      </c>
      <c r="E15" s="179">
        <f>IFERROR((E14-D14)/D14,0)</f>
        <v>0.05</v>
      </c>
      <c r="F15" s="179">
        <f>IFERROR((F14-E14)/E14,0)</f>
        <v>0.05</v>
      </c>
      <c r="G15" s="179">
        <f>IFERROR((G14-F14)/F14,0)</f>
        <v>4.9999999999999968E-2</v>
      </c>
      <c r="H15" s="180" t="s">
        <v>303</v>
      </c>
    </row>
    <row r="16" spans="2:8" ht="15" thickBot="1" x14ac:dyDescent="0.35"/>
    <row r="17" spans="2:7" ht="17.399999999999999" x14ac:dyDescent="0.3">
      <c r="B17" s="488" t="s">
        <v>373</v>
      </c>
      <c r="C17" s="489"/>
      <c r="D17" s="489"/>
      <c r="E17" s="489"/>
      <c r="F17" s="489"/>
      <c r="G17" s="490"/>
    </row>
    <row r="18" spans="2:7" ht="15.6" x14ac:dyDescent="0.3">
      <c r="B18" s="167" t="s">
        <v>374</v>
      </c>
      <c r="C18" s="112" t="s">
        <v>375</v>
      </c>
      <c r="D18" s="112" t="s">
        <v>376</v>
      </c>
      <c r="E18" s="112" t="s">
        <v>377</v>
      </c>
      <c r="F18" s="112" t="s">
        <v>378</v>
      </c>
      <c r="G18" s="165" t="s">
        <v>379</v>
      </c>
    </row>
    <row r="19" spans="2:7" ht="15" x14ac:dyDescent="0.3">
      <c r="B19" s="130" t="s">
        <v>144</v>
      </c>
      <c r="C19" s="110">
        <f>Revenue!F14</f>
        <v>270000</v>
      </c>
      <c r="D19" s="92">
        <f>Revenue!F14*12</f>
        <v>3240000</v>
      </c>
      <c r="E19" s="109">
        <f>IFERROR(Revenue!F14/Revenue!F21,0)</f>
        <v>0.28938906752411575</v>
      </c>
      <c r="F19" s="110">
        <f>Revenue!D14</f>
        <v>7500</v>
      </c>
      <c r="G19" s="169">
        <f>Revenue!C14</f>
        <v>36</v>
      </c>
    </row>
    <row r="20" spans="2:7" ht="15" x14ac:dyDescent="0.3">
      <c r="B20" s="130" t="s">
        <v>146</v>
      </c>
      <c r="C20" s="110">
        <f>Revenue!F15</f>
        <v>207000</v>
      </c>
      <c r="D20" s="92">
        <f>Revenue!F15*12</f>
        <v>2484000</v>
      </c>
      <c r="E20" s="109">
        <f>IFERROR(Revenue!F15/Revenue!F21,0)</f>
        <v>0.22186495176848875</v>
      </c>
      <c r="F20" s="110">
        <f>Revenue!D15</f>
        <v>8625</v>
      </c>
      <c r="G20" s="169">
        <f>Revenue!C15</f>
        <v>24</v>
      </c>
    </row>
    <row r="21" spans="2:7" ht="15" x14ac:dyDescent="0.3">
      <c r="B21" s="130" t="s">
        <v>368</v>
      </c>
      <c r="C21" s="110">
        <f>Revenue!F16</f>
        <v>168000</v>
      </c>
      <c r="D21" s="92">
        <f>Revenue!F16*12</f>
        <v>2016000</v>
      </c>
      <c r="E21" s="109">
        <f>IFERROR(Revenue!F16/Revenue!F21,0)</f>
        <v>0.18006430868167203</v>
      </c>
      <c r="F21" s="110">
        <f>Revenue!D16</f>
        <v>10500</v>
      </c>
      <c r="G21" s="169">
        <f>Revenue!C16</f>
        <v>16</v>
      </c>
    </row>
    <row r="22" spans="2:7" ht="15" x14ac:dyDescent="0.3">
      <c r="B22" s="130" t="s">
        <v>369</v>
      </c>
      <c r="C22" s="110">
        <f>Revenue!F17</f>
        <v>72000</v>
      </c>
      <c r="D22" s="92">
        <f>Revenue!F17*12</f>
        <v>864000</v>
      </c>
      <c r="E22" s="109">
        <f>IFERROR(Revenue!F17/Revenue!F21,0)</f>
        <v>7.7170418006430874E-2</v>
      </c>
      <c r="F22" s="110">
        <f>Revenue!D17</f>
        <v>1200</v>
      </c>
      <c r="G22" s="169">
        <f>Revenue!C17</f>
        <v>60</v>
      </c>
    </row>
    <row r="23" spans="2:7" ht="15" x14ac:dyDescent="0.3">
      <c r="B23" s="130" t="s">
        <v>152</v>
      </c>
      <c r="C23" s="110">
        <f>Revenue!F18</f>
        <v>60000</v>
      </c>
      <c r="D23" s="92">
        <f>Revenue!F18*12</f>
        <v>720000</v>
      </c>
      <c r="E23" s="109">
        <f>IFERROR(Revenue!F18/Revenue!F21,0)</f>
        <v>6.4308681672025719E-2</v>
      </c>
      <c r="F23" s="110">
        <f>Revenue!D18</f>
        <v>2000</v>
      </c>
      <c r="G23" s="169">
        <f>Revenue!C18</f>
        <v>30</v>
      </c>
    </row>
    <row r="24" spans="2:7" ht="15" x14ac:dyDescent="0.3">
      <c r="B24" s="130" t="s">
        <v>154</v>
      </c>
      <c r="C24" s="110">
        <f>Revenue!F19</f>
        <v>60000</v>
      </c>
      <c r="D24" s="92">
        <f>Revenue!F19*12</f>
        <v>720000</v>
      </c>
      <c r="E24" s="109">
        <f>IFERROR(Revenue!F19/Revenue!F21,0)</f>
        <v>6.4308681672025719E-2</v>
      </c>
      <c r="F24" s="110">
        <f>Revenue!D19</f>
        <v>15000</v>
      </c>
      <c r="G24" s="169">
        <f>Revenue!C19</f>
        <v>4</v>
      </c>
    </row>
    <row r="25" spans="2:7" ht="15" x14ac:dyDescent="0.3">
      <c r="B25" s="130" t="s">
        <v>370</v>
      </c>
      <c r="C25" s="110">
        <f>Revenue!F20</f>
        <v>96000</v>
      </c>
      <c r="D25" s="92">
        <f>Revenue!F20*12</f>
        <v>1152000</v>
      </c>
      <c r="E25" s="109">
        <f>IFERROR(Revenue!F20/Revenue!F21,0)</f>
        <v>0.10289389067524116</v>
      </c>
      <c r="F25" s="110">
        <f>Revenue!D20</f>
        <v>12000</v>
      </c>
      <c r="G25" s="169">
        <f>Revenue!C20</f>
        <v>8</v>
      </c>
    </row>
    <row r="26" spans="2:7" ht="16.2" thickBot="1" x14ac:dyDescent="0.35">
      <c r="B26" s="170" t="s">
        <v>380</v>
      </c>
      <c r="C26" s="171">
        <f>Revenue!F21</f>
        <v>933000</v>
      </c>
      <c r="D26" s="172">
        <f>Revenue!F21*12</f>
        <v>11196000</v>
      </c>
      <c r="E26" s="173">
        <f>SUM(E19:E25)</f>
        <v>1</v>
      </c>
      <c r="F26" s="174" t="s">
        <v>303</v>
      </c>
      <c r="G26" s="175" t="s">
        <v>303</v>
      </c>
    </row>
    <row r="27" spans="2:7" ht="15" thickBot="1" x14ac:dyDescent="0.35"/>
    <row r="28" spans="2:7" ht="17.399999999999999" x14ac:dyDescent="0.3">
      <c r="B28" s="125" t="s">
        <v>381</v>
      </c>
      <c r="C28" s="126"/>
      <c r="D28" s="127"/>
    </row>
    <row r="29" spans="2:7" ht="15.6" x14ac:dyDescent="0.3">
      <c r="B29" s="167" t="s">
        <v>255</v>
      </c>
      <c r="C29" s="112" t="s">
        <v>6</v>
      </c>
      <c r="D29" s="165" t="s">
        <v>7</v>
      </c>
    </row>
    <row r="30" spans="2:7" ht="15" x14ac:dyDescent="0.3">
      <c r="B30" s="130" t="s">
        <v>383</v>
      </c>
      <c r="C30" s="12">
        <f>C14</f>
        <v>11196000</v>
      </c>
      <c r="D30" s="131" t="s">
        <v>384</v>
      </c>
    </row>
    <row r="31" spans="2:7" ht="15" x14ac:dyDescent="0.3">
      <c r="B31" s="130" t="s">
        <v>385</v>
      </c>
      <c r="C31" s="12">
        <f>G14</f>
        <v>13608807.975</v>
      </c>
      <c r="D31" s="131" t="s">
        <v>384</v>
      </c>
    </row>
    <row r="32" spans="2:7" ht="15" x14ac:dyDescent="0.3">
      <c r="B32" s="130" t="s">
        <v>169</v>
      </c>
      <c r="C32" s="12">
        <f>H14</f>
        <v>61864967.475000001</v>
      </c>
      <c r="D32" s="131" t="s">
        <v>384</v>
      </c>
    </row>
    <row r="33" spans="2:4" ht="15" x14ac:dyDescent="0.3">
      <c r="B33" s="130" t="s">
        <v>386</v>
      </c>
      <c r="C33" s="111">
        <f>IFERROR((G14/C14)^(1/4)-1,0)</f>
        <v>5.0000000000000044E-2</v>
      </c>
      <c r="D33" s="131" t="s">
        <v>18</v>
      </c>
    </row>
    <row r="34" spans="2:4" ht="15" x14ac:dyDescent="0.3">
      <c r="B34" s="130" t="s">
        <v>387</v>
      </c>
      <c r="C34" s="12">
        <f>H14/5</f>
        <v>12372993.495000001</v>
      </c>
      <c r="D34" s="131" t="s">
        <v>384</v>
      </c>
    </row>
    <row r="35" spans="2:4" ht="15" x14ac:dyDescent="0.3">
      <c r="B35" s="130" t="s">
        <v>388</v>
      </c>
      <c r="C35" s="110">
        <f>Revenue!F21</f>
        <v>933000</v>
      </c>
      <c r="D35" s="131" t="s">
        <v>384</v>
      </c>
    </row>
    <row r="36" spans="2:4" ht="15" x14ac:dyDescent="0.3">
      <c r="B36" s="130" t="s">
        <v>389</v>
      </c>
      <c r="C36" s="110">
        <f>IFERROR(Revenue!F21*12/Input!C10,0)</f>
        <v>111960</v>
      </c>
      <c r="D36" s="131" t="s">
        <v>384</v>
      </c>
    </row>
    <row r="37" spans="2:4" ht="15" x14ac:dyDescent="0.3">
      <c r="B37" s="130" t="s">
        <v>390</v>
      </c>
      <c r="C37" s="110">
        <f>IFERROR(Revenue!F21*12/(Input!C10*Input!C13),0)</f>
        <v>139950</v>
      </c>
      <c r="D37" s="131" t="s">
        <v>384</v>
      </c>
    </row>
    <row r="38" spans="2:4" ht="15.6" thickBot="1" x14ac:dyDescent="0.35">
      <c r="B38" s="33" t="s">
        <v>391</v>
      </c>
      <c r="C38" s="168">
        <f>Input!C18</f>
        <v>0.05</v>
      </c>
      <c r="D38" s="36" t="s">
        <v>18</v>
      </c>
    </row>
    <row r="40" spans="2:4" x14ac:dyDescent="0.3">
      <c r="B40" s="2"/>
    </row>
  </sheetData>
  <mergeCells count="4">
    <mergeCell ref="B17:G17"/>
    <mergeCell ref="B2:H2"/>
    <mergeCell ref="B3:H3"/>
    <mergeCell ref="B5:H5"/>
  </mergeCells>
  <hyperlinks>
    <hyperlink ref="B1" location="'Navigation Tab'!A1" display="Navigation Tab" xr:uid="{2A83103B-2E7C-4B1A-BCD9-850EF7668CB3}"/>
  </hyperlink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H9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54.6640625" customWidth="1"/>
    <col min="3" max="3" width="24.33203125" bestFit="1" customWidth="1"/>
    <col min="4" max="4" width="28.5546875" bestFit="1" customWidth="1"/>
    <col min="5" max="5" width="26" bestFit="1" customWidth="1"/>
    <col min="6" max="6" width="22.109375" bestFit="1" customWidth="1"/>
    <col min="7" max="7" width="34" bestFit="1" customWidth="1"/>
    <col min="8" max="8" width="19.88671875" bestFit="1" customWidth="1"/>
  </cols>
  <sheetData>
    <row r="1" spans="2:8" ht="21.6" thickBot="1" x14ac:dyDescent="0.45">
      <c r="B1" s="384" t="s">
        <v>1005</v>
      </c>
    </row>
    <row r="2" spans="2:8" ht="22.8" x14ac:dyDescent="0.3">
      <c r="B2" s="513" t="s">
        <v>392</v>
      </c>
      <c r="C2" s="514"/>
      <c r="D2" s="514"/>
      <c r="E2" s="514"/>
      <c r="F2" s="514"/>
      <c r="G2" s="514"/>
      <c r="H2" s="515"/>
    </row>
    <row r="3" spans="2:8" ht="18" thickBot="1" x14ac:dyDescent="0.35">
      <c r="B3" s="485" t="s">
        <v>946</v>
      </c>
      <c r="C3" s="486"/>
      <c r="D3" s="486"/>
      <c r="E3" s="486"/>
      <c r="F3" s="486"/>
      <c r="G3" s="486"/>
      <c r="H3" s="487"/>
    </row>
    <row r="4" spans="2:8" ht="15" thickBot="1" x14ac:dyDescent="0.35"/>
    <row r="5" spans="2:8" ht="17.399999999999999" x14ac:dyDescent="0.3">
      <c r="B5" s="516" t="s">
        <v>393</v>
      </c>
      <c r="C5" s="517"/>
      <c r="D5" s="517"/>
      <c r="E5" s="517"/>
      <c r="F5" s="517"/>
      <c r="G5" s="517"/>
      <c r="H5" s="518"/>
    </row>
    <row r="6" spans="2:8" ht="17.399999999999999" x14ac:dyDescent="0.3">
      <c r="B6" s="221" t="s">
        <v>948</v>
      </c>
      <c r="C6" s="219" t="s">
        <v>341</v>
      </c>
      <c r="D6" s="219" t="s">
        <v>342</v>
      </c>
      <c r="E6" s="219" t="s">
        <v>343</v>
      </c>
      <c r="F6" s="219" t="s">
        <v>344</v>
      </c>
      <c r="G6" s="219" t="s">
        <v>345</v>
      </c>
      <c r="H6" s="220" t="s">
        <v>395</v>
      </c>
    </row>
    <row r="7" spans="2:8" ht="15.6" x14ac:dyDescent="0.3">
      <c r="B7" s="519" t="s">
        <v>396</v>
      </c>
      <c r="C7" s="520"/>
      <c r="D7" s="520"/>
      <c r="E7" s="520"/>
      <c r="F7" s="520"/>
      <c r="G7" s="520"/>
      <c r="H7" s="521"/>
    </row>
    <row r="8" spans="2:8" ht="15" x14ac:dyDescent="0.3">
      <c r="B8" s="61" t="s">
        <v>397</v>
      </c>
      <c r="C8" s="110">
        <f>'Revenue Model'!C14</f>
        <v>11196000</v>
      </c>
      <c r="D8" s="110">
        <f>'Revenue Model'!D14</f>
        <v>11755800</v>
      </c>
      <c r="E8" s="110">
        <f>'Revenue Model'!E14</f>
        <v>12343590</v>
      </c>
      <c r="F8" s="110">
        <f>'Revenue Model'!F14</f>
        <v>12960769.5</v>
      </c>
      <c r="G8" s="110">
        <f>'Revenue Model'!G14</f>
        <v>13608807.975</v>
      </c>
      <c r="H8" s="62">
        <f>SUM(C8:G8)</f>
        <v>61864967.475000001</v>
      </c>
    </row>
    <row r="9" spans="2:8" ht="15.6" x14ac:dyDescent="0.3">
      <c r="B9" s="194" t="s">
        <v>398</v>
      </c>
      <c r="C9" s="182">
        <f>C8*0.05</f>
        <v>559800</v>
      </c>
      <c r="D9" s="182">
        <f>D8*0.05</f>
        <v>587790</v>
      </c>
      <c r="E9" s="182">
        <f>E8*0.05</f>
        <v>617179.5</v>
      </c>
      <c r="F9" s="182">
        <f>F8*0.05</f>
        <v>648038.47500000009</v>
      </c>
      <c r="G9" s="182">
        <f>G8*0.05</f>
        <v>680440.39875000005</v>
      </c>
      <c r="H9" s="62">
        <f>SUM(C9:G9)</f>
        <v>3093248.3737500003</v>
      </c>
    </row>
    <row r="10" spans="2:8" ht="15.6" x14ac:dyDescent="0.3">
      <c r="B10" s="176" t="s">
        <v>399</v>
      </c>
      <c r="C10" s="166">
        <f>C8-C9</f>
        <v>10636200</v>
      </c>
      <c r="D10" s="166">
        <f>D8-D9</f>
        <v>11168010</v>
      </c>
      <c r="E10" s="166">
        <f>E8-E9</f>
        <v>11726410.5</v>
      </c>
      <c r="F10" s="166">
        <f>F8-F9</f>
        <v>12312731.025</v>
      </c>
      <c r="G10" s="166">
        <f>G8-G9</f>
        <v>12928367.57625</v>
      </c>
      <c r="H10" s="195">
        <f>SUM(C10:G10)</f>
        <v>58771719.10125</v>
      </c>
    </row>
    <row r="11" spans="2:8" ht="15.6" x14ac:dyDescent="0.3">
      <c r="B11" s="196"/>
      <c r="C11" s="184"/>
      <c r="D11" s="184"/>
      <c r="E11" s="184"/>
      <c r="F11" s="184"/>
      <c r="G11" s="184"/>
      <c r="H11" s="197"/>
    </row>
    <row r="12" spans="2:8" ht="15.6" x14ac:dyDescent="0.3">
      <c r="B12" s="519" t="s">
        <v>400</v>
      </c>
      <c r="C12" s="520"/>
      <c r="D12" s="520"/>
      <c r="E12" s="520"/>
      <c r="F12" s="520"/>
      <c r="G12" s="520"/>
      <c r="H12" s="521"/>
    </row>
    <row r="13" spans="2:8" ht="15" x14ac:dyDescent="0.3">
      <c r="B13" s="61" t="s">
        <v>401</v>
      </c>
      <c r="C13" s="92">
        <f>'Cost sheet'!C43*'Cost sheet'!C49*12</f>
        <v>864000</v>
      </c>
      <c r="D13" s="92">
        <f>C13*(1+Input!C19)^1</f>
        <v>907200</v>
      </c>
      <c r="E13" s="92">
        <f>C13*(1+Input!C19)^2</f>
        <v>952560</v>
      </c>
      <c r="F13" s="92">
        <f>C13*(1+Input!C19)^3</f>
        <v>1000188.0000000001</v>
      </c>
      <c r="G13" s="92">
        <f>C13*(1+Input!C19)^4</f>
        <v>1050197.3999999999</v>
      </c>
      <c r="H13" s="62">
        <f>SUM(C13:G13)</f>
        <v>4774145.4000000004</v>
      </c>
    </row>
    <row r="14" spans="2:8" ht="15.6" x14ac:dyDescent="0.3">
      <c r="B14" s="198" t="s">
        <v>402</v>
      </c>
      <c r="C14" s="185">
        <f>C10-C13</f>
        <v>9772200</v>
      </c>
      <c r="D14" s="185">
        <f>D10-D13</f>
        <v>10260810</v>
      </c>
      <c r="E14" s="185">
        <f>E10-E13</f>
        <v>10773850.5</v>
      </c>
      <c r="F14" s="185">
        <f>F10-F13</f>
        <v>11312543.025</v>
      </c>
      <c r="G14" s="185">
        <f>G10-G13</f>
        <v>11878170.17625</v>
      </c>
      <c r="H14" s="199">
        <f>SUM(C14:G14)</f>
        <v>53997573.701250002</v>
      </c>
    </row>
    <row r="15" spans="2:8" ht="15.6" x14ac:dyDescent="0.3">
      <c r="B15" s="194" t="s">
        <v>403</v>
      </c>
      <c r="C15" s="187">
        <f>IFERROR(C14/C10,0)</f>
        <v>0.91876798104586221</v>
      </c>
      <c r="D15" s="187">
        <f>IFERROR(D14/D10,0)</f>
        <v>0.91876798104586221</v>
      </c>
      <c r="E15" s="187">
        <f>IFERROR(E14/E10,0)</f>
        <v>0.91876798104586221</v>
      </c>
      <c r="F15" s="187">
        <f>IFERROR(F14/F10,0)</f>
        <v>0.91876798104586221</v>
      </c>
      <c r="G15" s="187">
        <f>IFERROR(G14/G10,0)</f>
        <v>0.91876798104586221</v>
      </c>
      <c r="H15" s="200" t="s">
        <v>945</v>
      </c>
    </row>
    <row r="16" spans="2:8" ht="15.6" x14ac:dyDescent="0.3">
      <c r="B16" s="196"/>
      <c r="C16" s="184"/>
      <c r="D16" s="184"/>
      <c r="E16" s="184"/>
      <c r="F16" s="184"/>
      <c r="G16" s="184"/>
      <c r="H16" s="197"/>
    </row>
    <row r="17" spans="2:8" ht="15.6" x14ac:dyDescent="0.3">
      <c r="B17" s="519" t="s">
        <v>404</v>
      </c>
      <c r="C17" s="520"/>
      <c r="D17" s="520"/>
      <c r="E17" s="520"/>
      <c r="F17" s="520"/>
      <c r="G17" s="520"/>
      <c r="H17" s="521"/>
    </row>
    <row r="18" spans="2:8" ht="15" x14ac:dyDescent="0.3">
      <c r="B18" s="61" t="s">
        <v>405</v>
      </c>
      <c r="C18" s="92">
        <f>'Cost sheet'!C20*12</f>
        <v>8964639.3745184187</v>
      </c>
      <c r="D18" s="92">
        <f>'Cost sheet'!C20*12</f>
        <v>8964639.3745184187</v>
      </c>
      <c r="E18" s="92">
        <f>'Cost sheet'!C20*12</f>
        <v>8964639.3745184187</v>
      </c>
      <c r="F18" s="92">
        <f>'Cost sheet'!C20*12</f>
        <v>8964639.3745184187</v>
      </c>
      <c r="G18" s="92">
        <f>'Cost sheet'!C20*12</f>
        <v>8964639.3745184187</v>
      </c>
      <c r="H18" s="62">
        <f t="shared" ref="H18:H24" si="0">SUM(C18:G18)</f>
        <v>44823196.872592092</v>
      </c>
    </row>
    <row r="19" spans="2:8" ht="15" x14ac:dyDescent="0.3">
      <c r="B19" s="61" t="s">
        <v>406</v>
      </c>
      <c r="C19" s="92">
        <f>('Cost sheet'!C21+'Cost sheet'!C22+'Cost sheet'!C23+'Cost sheet'!C24+'Cost sheet'!C25+'Cost sheet'!C26)*12</f>
        <v>2388000</v>
      </c>
      <c r="D19" s="92">
        <f>C19*(1+Input!C19)</f>
        <v>2507400</v>
      </c>
      <c r="E19" s="92">
        <f>D19*(1+Input!C19)</f>
        <v>2632770</v>
      </c>
      <c r="F19" s="92">
        <f>E19*(1+Input!C19)</f>
        <v>2764408.5</v>
      </c>
      <c r="G19" s="92">
        <f>F19*(1+Input!C19)</f>
        <v>2902628.9250000003</v>
      </c>
      <c r="H19" s="62">
        <f t="shared" si="0"/>
        <v>13195207.425000001</v>
      </c>
    </row>
    <row r="20" spans="2:8" ht="15" x14ac:dyDescent="0.3">
      <c r="B20" s="61" t="s">
        <v>407</v>
      </c>
      <c r="C20" s="92">
        <f>('Cost sheet'!C27+'Cost sheet'!C28)*12</f>
        <v>756000</v>
      </c>
      <c r="D20" s="92">
        <f>C20*(1+Input!C19)</f>
        <v>793800</v>
      </c>
      <c r="E20" s="92">
        <f>D20*(1+Input!C19)</f>
        <v>833490</v>
      </c>
      <c r="F20" s="92">
        <f>E20*(1+Input!C19)</f>
        <v>875164.5</v>
      </c>
      <c r="G20" s="92">
        <f>F20*(1+Input!C19)</f>
        <v>918922.72500000009</v>
      </c>
      <c r="H20" s="62">
        <f t="shared" si="0"/>
        <v>4177377.2250000001</v>
      </c>
    </row>
    <row r="21" spans="2:8" ht="15" x14ac:dyDescent="0.3">
      <c r="B21" s="61" t="s">
        <v>408</v>
      </c>
      <c r="C21" s="92">
        <f>'Cost sheet'!C29*12</f>
        <v>180000</v>
      </c>
      <c r="D21" s="92">
        <f>C21*(1+Input!C19)</f>
        <v>189000</v>
      </c>
      <c r="E21" s="92">
        <f>D21*(1+Input!C19)</f>
        <v>198450</v>
      </c>
      <c r="F21" s="92">
        <f>E21*(1+Input!C19)</f>
        <v>208372.5</v>
      </c>
      <c r="G21" s="92">
        <f>F21*(1+Input!C19)</f>
        <v>218791.125</v>
      </c>
      <c r="H21" s="62">
        <f t="shared" si="0"/>
        <v>994613.625</v>
      </c>
    </row>
    <row r="22" spans="2:8" ht="15" x14ac:dyDescent="0.3">
      <c r="B22" s="61" t="s">
        <v>409</v>
      </c>
      <c r="C22" s="92">
        <f>'Cost sheet'!C30*12</f>
        <v>240000</v>
      </c>
      <c r="D22" s="92">
        <f>C22*(1+Input!C19)</f>
        <v>252000</v>
      </c>
      <c r="E22" s="92">
        <f>D22*(1+Input!C19)</f>
        <v>264600</v>
      </c>
      <c r="F22" s="92">
        <f>E22*(1+Input!C19)</f>
        <v>277830</v>
      </c>
      <c r="G22" s="92">
        <f>F22*(1+Input!C19)</f>
        <v>291721.5</v>
      </c>
      <c r="H22" s="62">
        <f t="shared" si="0"/>
        <v>1326151.5</v>
      </c>
    </row>
    <row r="23" spans="2:8" ht="15" x14ac:dyDescent="0.3">
      <c r="B23" s="61" t="s">
        <v>410</v>
      </c>
      <c r="C23" s="92">
        <f>('Cost sheet'!C31+'Cost sheet'!C32+'Cost sheet'!C33)*12</f>
        <v>204000</v>
      </c>
      <c r="D23" s="92">
        <f>C23*(1+Input!C19)</f>
        <v>214200</v>
      </c>
      <c r="E23" s="92">
        <f>D23*(1+Input!C19)</f>
        <v>224910</v>
      </c>
      <c r="F23" s="92">
        <f>E23*(1+Input!C19)</f>
        <v>236155.5</v>
      </c>
      <c r="G23" s="92">
        <f>F23*(1+Input!C19)</f>
        <v>247963.27500000002</v>
      </c>
      <c r="H23" s="62">
        <f t="shared" si="0"/>
        <v>1127228.7749999999</v>
      </c>
    </row>
    <row r="24" spans="2:8" ht="15.6" x14ac:dyDescent="0.3">
      <c r="B24" s="201" t="s">
        <v>411</v>
      </c>
      <c r="C24" s="188">
        <f>SUM(C18:C23)</f>
        <v>12732639.374518419</v>
      </c>
      <c r="D24" s="188">
        <f>SUM(D18:D23)</f>
        <v>12921039.374518419</v>
      </c>
      <c r="E24" s="188">
        <f>SUM(E18:E23)</f>
        <v>13118859.374518419</v>
      </c>
      <c r="F24" s="188">
        <f>SUM(F18:F23)</f>
        <v>13326570.374518419</v>
      </c>
      <c r="G24" s="188">
        <f>SUM(G18:G23)</f>
        <v>13544666.924518419</v>
      </c>
      <c r="H24" s="202">
        <f t="shared" si="0"/>
        <v>65643775.422592096</v>
      </c>
    </row>
    <row r="25" spans="2:8" ht="15.6" x14ac:dyDescent="0.3">
      <c r="B25" s="196"/>
      <c r="C25" s="184"/>
      <c r="D25" s="184"/>
      <c r="E25" s="184"/>
      <c r="F25" s="184"/>
      <c r="G25" s="184"/>
      <c r="H25" s="197"/>
    </row>
    <row r="26" spans="2:8" ht="15.6" x14ac:dyDescent="0.3">
      <c r="B26" s="203" t="s">
        <v>267</v>
      </c>
      <c r="C26" s="190">
        <f>C14-C24</f>
        <v>-2960439.3745184187</v>
      </c>
      <c r="D26" s="190">
        <f>D14-D24</f>
        <v>-2660229.3745184187</v>
      </c>
      <c r="E26" s="190">
        <f>E14-E24</f>
        <v>-2345008.8745184187</v>
      </c>
      <c r="F26" s="190">
        <f>F14-F24</f>
        <v>-2014027.3495184183</v>
      </c>
      <c r="G26" s="190">
        <f>G14-G24</f>
        <v>-1666496.7482684199</v>
      </c>
      <c r="H26" s="204">
        <f>SUM(C26:G26)</f>
        <v>-11646201.721342094</v>
      </c>
    </row>
    <row r="27" spans="2:8" ht="15.6" x14ac:dyDescent="0.3">
      <c r="B27" s="194" t="s">
        <v>412</v>
      </c>
      <c r="C27" s="187">
        <f>IFERROR(C26/C10,0)</f>
        <v>-0.2783361891012221</v>
      </c>
      <c r="D27" s="187">
        <f>IFERROR(D26/D10,0)</f>
        <v>-0.23820084101987898</v>
      </c>
      <c r="E27" s="187">
        <f>IFERROR(E26/E10,0)</f>
        <v>-0.19997669999002837</v>
      </c>
      <c r="F27" s="187">
        <f>IFERROR(F26/F10,0)</f>
        <v>-0.16357275615207539</v>
      </c>
      <c r="G27" s="187">
        <f>IFERROR(G26/G10,0)</f>
        <v>-0.12890233344926319</v>
      </c>
      <c r="H27" s="200" t="s">
        <v>945</v>
      </c>
    </row>
    <row r="28" spans="2:8" ht="15.6" x14ac:dyDescent="0.3">
      <c r="B28" s="196"/>
      <c r="C28" s="184"/>
      <c r="D28" s="184"/>
      <c r="E28" s="184"/>
      <c r="F28" s="184"/>
      <c r="G28" s="184"/>
      <c r="H28" s="197"/>
    </row>
    <row r="29" spans="2:8" ht="15.6" x14ac:dyDescent="0.3">
      <c r="B29" s="519" t="s">
        <v>413</v>
      </c>
      <c r="C29" s="520"/>
      <c r="D29" s="520"/>
      <c r="E29" s="520"/>
      <c r="F29" s="520"/>
      <c r="G29" s="520"/>
      <c r="H29" s="521"/>
    </row>
    <row r="30" spans="2:8" ht="15" x14ac:dyDescent="0.3">
      <c r="B30" s="61" t="s">
        <v>414</v>
      </c>
      <c r="C30" s="92">
        <f>'Cost sheet'!C7*Assumptions!E19</f>
        <v>875000</v>
      </c>
      <c r="D30" s="92">
        <f>'Cost sheet'!C7*Assumptions!E19</f>
        <v>875000</v>
      </c>
      <c r="E30" s="92">
        <f>'Cost sheet'!C7*Assumptions!E19</f>
        <v>875000</v>
      </c>
      <c r="F30" s="92">
        <f>'Cost sheet'!C7*Assumptions!E19</f>
        <v>875000</v>
      </c>
      <c r="G30" s="92">
        <f>'Cost sheet'!C7*Assumptions!E19</f>
        <v>875000</v>
      </c>
      <c r="H30" s="62">
        <f>SUM(C30:G30)</f>
        <v>4375000</v>
      </c>
    </row>
    <row r="31" spans="2:8" ht="15" x14ac:dyDescent="0.3">
      <c r="B31" s="61" t="s">
        <v>415</v>
      </c>
      <c r="C31" s="92">
        <f>'Cost sheet'!C8*Assumptions!E20*(1-Assumptions!E20)^0</f>
        <v>500000</v>
      </c>
      <c r="D31" s="92">
        <f>'Cost sheet'!C8*Assumptions!E20*(1-Assumptions!E20)^1</f>
        <v>400000</v>
      </c>
      <c r="E31" s="92">
        <f>'Cost sheet'!C8*Assumptions!E20*(1-Assumptions!E20)^2</f>
        <v>320000.00000000006</v>
      </c>
      <c r="F31" s="92">
        <f>'Cost sheet'!C8*Assumptions!E20*(1-Assumptions!E20)^3</f>
        <v>256000.00000000006</v>
      </c>
      <c r="G31" s="92">
        <f>'Cost sheet'!C8*Assumptions!E20*(1-Assumptions!E20)^4</f>
        <v>204800.00000000009</v>
      </c>
      <c r="H31" s="62">
        <f>SUM(C31:G31)</f>
        <v>1680800</v>
      </c>
    </row>
    <row r="32" spans="2:8" ht="15" x14ac:dyDescent="0.3">
      <c r="B32" s="61" t="s">
        <v>416</v>
      </c>
      <c r="C32" s="92">
        <f>'Cost sheet'!C9*Assumptions!E21*(1-Assumptions!E21)^0</f>
        <v>247500</v>
      </c>
      <c r="D32" s="92">
        <f>'Cost sheet'!C9*Assumptions!E21*(1-Assumptions!E21)^1</f>
        <v>165824.99999999997</v>
      </c>
      <c r="E32" s="92">
        <f>'Cost sheet'!C9*Assumptions!E21*(1-Assumptions!E21)^2</f>
        <v>111102.74999999997</v>
      </c>
      <c r="F32" s="92">
        <f>'Cost sheet'!C9*Assumptions!E21*(1-Assumptions!E21)^3</f>
        <v>74438.84249999997</v>
      </c>
      <c r="G32" s="92">
        <f>'Cost sheet'!C9*Assumptions!E21*(1-Assumptions!E21)^4</f>
        <v>49874.024474999977</v>
      </c>
      <c r="H32" s="62">
        <f>SUM(C32:G32)</f>
        <v>648740.61697500001</v>
      </c>
    </row>
    <row r="33" spans="2:8" ht="15.6" x14ac:dyDescent="0.3">
      <c r="B33" s="176" t="s">
        <v>417</v>
      </c>
      <c r="C33" s="166">
        <f>SUM(C30:C32)</f>
        <v>1622500</v>
      </c>
      <c r="D33" s="166">
        <f>SUM(D30:D32)</f>
        <v>1440825</v>
      </c>
      <c r="E33" s="166">
        <f>SUM(E30:E32)</f>
        <v>1306102.75</v>
      </c>
      <c r="F33" s="166">
        <f>SUM(F30:F32)</f>
        <v>1205438.8425</v>
      </c>
      <c r="G33" s="166">
        <f>SUM(G30:G32)</f>
        <v>1129674.0244749999</v>
      </c>
      <c r="H33" s="195">
        <f>SUM(C33:G33)</f>
        <v>6704540.6169750001</v>
      </c>
    </row>
    <row r="34" spans="2:8" ht="15.6" x14ac:dyDescent="0.3">
      <c r="B34" s="196"/>
      <c r="C34" s="184"/>
      <c r="D34" s="184"/>
      <c r="E34" s="184"/>
      <c r="F34" s="184"/>
      <c r="G34" s="184"/>
      <c r="H34" s="197"/>
    </row>
    <row r="35" spans="2:8" ht="15.6" x14ac:dyDescent="0.3">
      <c r="B35" s="203" t="s">
        <v>418</v>
      </c>
      <c r="C35" s="190">
        <f>C26-C33</f>
        <v>-4582939.3745184187</v>
      </c>
      <c r="D35" s="190">
        <f>D26-D33</f>
        <v>-4101054.3745184187</v>
      </c>
      <c r="E35" s="190">
        <f>E26-E33</f>
        <v>-3651111.6245184187</v>
      </c>
      <c r="F35" s="190">
        <f>F26-F33</f>
        <v>-3219466.1920184186</v>
      </c>
      <c r="G35" s="190">
        <f>G26-G33</f>
        <v>-2796170.7727434197</v>
      </c>
      <c r="H35" s="204">
        <f>SUM(C35:G35)</f>
        <v>-18350742.338317093</v>
      </c>
    </row>
    <row r="36" spans="2:8" ht="15.6" x14ac:dyDescent="0.3">
      <c r="B36" s="194" t="s">
        <v>419</v>
      </c>
      <c r="C36" s="187">
        <f>IFERROR(C35/C10,0)</f>
        <v>-0.43088127099137086</v>
      </c>
      <c r="D36" s="187">
        <f>IFERROR(D35/D10,0)</f>
        <v>-0.36721442535585291</v>
      </c>
      <c r="E36" s="187">
        <f>IFERROR(E35/E10,0)</f>
        <v>-0.31135799181841867</v>
      </c>
      <c r="F36" s="187">
        <f>IFERROR(F35/F10,0)</f>
        <v>-0.26147458151092184</v>
      </c>
      <c r="G36" s="187">
        <f>IFERROR(G35/G10,0)</f>
        <v>-0.21628181255304907</v>
      </c>
      <c r="H36" s="200" t="s">
        <v>945</v>
      </c>
    </row>
    <row r="37" spans="2:8" ht="15.6" x14ac:dyDescent="0.3">
      <c r="B37" s="196"/>
      <c r="C37" s="184"/>
      <c r="D37" s="184"/>
      <c r="E37" s="184"/>
      <c r="F37" s="184"/>
      <c r="G37" s="184"/>
      <c r="H37" s="197"/>
    </row>
    <row r="38" spans="2:8" ht="15.6" x14ac:dyDescent="0.3">
      <c r="B38" s="519" t="s">
        <v>420</v>
      </c>
      <c r="C38" s="520"/>
      <c r="D38" s="520"/>
      <c r="E38" s="520"/>
      <c r="F38" s="520"/>
      <c r="G38" s="520"/>
      <c r="H38" s="521"/>
    </row>
    <row r="39" spans="2:8" ht="15" x14ac:dyDescent="0.3">
      <c r="B39" s="61" t="s">
        <v>421</v>
      </c>
      <c r="C39" s="92">
        <f>'Cost sheet'!C81</f>
        <v>5337000</v>
      </c>
      <c r="D39" s="92">
        <f>IFERROR('Cost sheet'!C79*Input!C22*(1-((2-1)/Input!C23)),0)</f>
        <v>4574571.4285714291</v>
      </c>
      <c r="E39" s="92">
        <f>IFERROR('Cost sheet'!C79*Input!C22*(1-((3-1)/Input!C23)),0)</f>
        <v>3812142.8571428573</v>
      </c>
      <c r="F39" s="92">
        <f>IFERROR('Cost sheet'!C79*Input!C22*(1-((4-1)/Input!C23)),0)</f>
        <v>3049714.2857142854</v>
      </c>
      <c r="G39" s="92">
        <f>IFERROR('Cost sheet'!C79*Input!C22*(1-((5-1)/Input!C23)),0)</f>
        <v>2287285.7142857146</v>
      </c>
      <c r="H39" s="62">
        <f>SUM(C39:G39)</f>
        <v>19060714.285714287</v>
      </c>
    </row>
    <row r="40" spans="2:8" ht="15.6" x14ac:dyDescent="0.3">
      <c r="B40" s="196"/>
      <c r="C40" s="184"/>
      <c r="D40" s="184"/>
      <c r="E40" s="184"/>
      <c r="F40" s="184"/>
      <c r="G40" s="184"/>
      <c r="H40" s="197"/>
    </row>
    <row r="41" spans="2:8" ht="15.6" x14ac:dyDescent="0.3">
      <c r="B41" s="203" t="s">
        <v>422</v>
      </c>
      <c r="C41" s="190">
        <f>C35-C39</f>
        <v>-9919939.3745184187</v>
      </c>
      <c r="D41" s="190">
        <f>D35-D39</f>
        <v>-8675625.8030898478</v>
      </c>
      <c r="E41" s="190">
        <f>E35-E39</f>
        <v>-7463254.481661276</v>
      </c>
      <c r="F41" s="190">
        <f>F35-F39</f>
        <v>-6269180.477732704</v>
      </c>
      <c r="G41" s="190">
        <f>G35-G39</f>
        <v>-5083456.4870291343</v>
      </c>
      <c r="H41" s="204">
        <f>SUM(C41:G41)</f>
        <v>-37411456.62403138</v>
      </c>
    </row>
    <row r="42" spans="2:8" ht="15" x14ac:dyDescent="0.3">
      <c r="B42" s="61" t="s">
        <v>423</v>
      </c>
      <c r="C42" s="12">
        <f>MAX(0,C41*Input!C21)</f>
        <v>0</v>
      </c>
      <c r="D42" s="12">
        <f>MAX(0,D41*Input!C21)</f>
        <v>0</v>
      </c>
      <c r="E42" s="12">
        <f>MAX(0,E41*Input!C21)</f>
        <v>0</v>
      </c>
      <c r="F42" s="12">
        <f>MAX(0,F41*Input!C21)</f>
        <v>0</v>
      </c>
      <c r="G42" s="12">
        <f>MAX(0,G41*Input!C21)</f>
        <v>0</v>
      </c>
      <c r="H42" s="62">
        <f>SUM(C42:G42)</f>
        <v>0</v>
      </c>
    </row>
    <row r="43" spans="2:8" ht="15.6" x14ac:dyDescent="0.3">
      <c r="B43" s="198" t="s">
        <v>424</v>
      </c>
      <c r="C43" s="185">
        <f>C41-C42</f>
        <v>-9919939.3745184187</v>
      </c>
      <c r="D43" s="185">
        <f>D41-D42</f>
        <v>-8675625.8030898478</v>
      </c>
      <c r="E43" s="185">
        <f>E41-E42</f>
        <v>-7463254.481661276</v>
      </c>
      <c r="F43" s="185">
        <f>F41-F42</f>
        <v>-6269180.477732704</v>
      </c>
      <c r="G43" s="185">
        <f>G41-G42</f>
        <v>-5083456.4870291343</v>
      </c>
      <c r="H43" s="199">
        <f>SUM(C43:G43)</f>
        <v>-37411456.62403138</v>
      </c>
    </row>
    <row r="44" spans="2:8" ht="15.6" x14ac:dyDescent="0.3">
      <c r="B44" s="194" t="s">
        <v>425</v>
      </c>
      <c r="C44" s="187">
        <f>IFERROR(C43/C10,0)</f>
        <v>-0.93265822140599264</v>
      </c>
      <c r="D44" s="187">
        <f>IFERROR(D43/D10,0)</f>
        <v>-0.77682826242901359</v>
      </c>
      <c r="E44" s="187">
        <f>IFERROR(E43/E10,0)</f>
        <v>-0.63644833870187945</v>
      </c>
      <c r="F44" s="187">
        <f>IFERROR(F43/F10,0)</f>
        <v>-0.50916246485070149</v>
      </c>
      <c r="G44" s="187">
        <f>IFERROR(G43/G10,0)</f>
        <v>-0.39320172922432028</v>
      </c>
      <c r="H44" s="200" t="s">
        <v>945</v>
      </c>
    </row>
    <row r="45" spans="2:8" ht="16.2" thickBot="1" x14ac:dyDescent="0.35">
      <c r="B45" s="205" t="s">
        <v>426</v>
      </c>
      <c r="C45" s="206">
        <f>C43</f>
        <v>-9919939.3745184187</v>
      </c>
      <c r="D45" s="206">
        <f>C45+D43</f>
        <v>-18595565.177608266</v>
      </c>
      <c r="E45" s="206">
        <f>D45+E43</f>
        <v>-26058819.659269542</v>
      </c>
      <c r="F45" s="206">
        <f>E45+F43</f>
        <v>-32328000.137002245</v>
      </c>
      <c r="G45" s="206">
        <f>F45+G43</f>
        <v>-37411456.62403138</v>
      </c>
      <c r="H45" s="207">
        <f>SUM(C43:G43)</f>
        <v>-37411456.62403138</v>
      </c>
    </row>
    <row r="46" spans="2:8" ht="16.2" thickBot="1" x14ac:dyDescent="0.35">
      <c r="B46" s="208"/>
      <c r="C46" s="208"/>
      <c r="D46" s="208"/>
      <c r="E46" s="208"/>
      <c r="F46" s="208"/>
      <c r="G46" s="208"/>
      <c r="H46" s="193"/>
    </row>
    <row r="47" spans="2:8" ht="17.399999999999999" x14ac:dyDescent="0.3">
      <c r="B47" s="509" t="s">
        <v>427</v>
      </c>
      <c r="C47" s="510"/>
      <c r="D47" s="510"/>
      <c r="E47" s="510"/>
      <c r="F47" s="510"/>
      <c r="G47" s="511"/>
    </row>
    <row r="48" spans="2:8" ht="15.6" x14ac:dyDescent="0.3">
      <c r="B48" s="25" t="s">
        <v>428</v>
      </c>
      <c r="C48" s="9" t="s">
        <v>429</v>
      </c>
      <c r="D48" s="9" t="s">
        <v>430</v>
      </c>
      <c r="E48" s="9" t="s">
        <v>431</v>
      </c>
      <c r="F48" s="9" t="s">
        <v>432</v>
      </c>
      <c r="G48" s="26" t="s">
        <v>433</v>
      </c>
      <c r="H48" s="21"/>
    </row>
    <row r="49" spans="2:8" ht="15.6" x14ac:dyDescent="0.3">
      <c r="B49" s="209" t="s">
        <v>434</v>
      </c>
      <c r="C49" s="181" t="s">
        <v>435</v>
      </c>
      <c r="D49" s="92">
        <f>'Cost sheet'!C43*'Cost sheet'!C49*12</f>
        <v>864000</v>
      </c>
      <c r="E49" s="192">
        <f>IFERROR('Cost sheet'!C43*Input!C10*12/('Revenue Model'!C14/Input!C13),0)</f>
        <v>7.7170418006430874E-2</v>
      </c>
      <c r="F49" s="92">
        <f>'Cost sheet'!C43</f>
        <v>900</v>
      </c>
      <c r="G49" s="210" t="str">
        <f>IF(Input!C14&gt;'Cost sheet'!C43,"✓ Yes — Contribution Positive","✗ Price below var cost")</f>
        <v>✓ Yes — Contribution Positive</v>
      </c>
      <c r="H49" s="21"/>
    </row>
    <row r="50" spans="2:8" ht="15.6" x14ac:dyDescent="0.3">
      <c r="B50" s="209" t="s">
        <v>436</v>
      </c>
      <c r="C50" s="181" t="s">
        <v>437</v>
      </c>
      <c r="D50" s="92">
        <f>('Cost sheet'!C34+'Cost sheet'!C51)*12+C39</f>
        <v>18933639.374518421</v>
      </c>
      <c r="E50" s="192">
        <f>IFERROR(D50/('Revenue Model'!C14/Input!C13),0)</f>
        <v>1.3528859860320415</v>
      </c>
      <c r="F50" s="92">
        <f>IFERROR(('Cost sheet'!C34*12+C39)/(Input!C10*Input!C13*12)+'Cost sheet'!C43,0)</f>
        <v>19722.541015123355</v>
      </c>
      <c r="G50" s="211" t="str">
        <f>IF(E50&gt;1,"✗ &gt;100% occ needed","✓ Achievable")</f>
        <v>✗ &gt;100% occ needed</v>
      </c>
      <c r="H50" s="21"/>
    </row>
    <row r="51" spans="2:8" ht="15.6" x14ac:dyDescent="0.3">
      <c r="B51" s="209" t="s">
        <v>438</v>
      </c>
      <c r="C51" s="181" t="s">
        <v>439</v>
      </c>
      <c r="D51" s="92">
        <f>IFERROR(('Cost sheet'!C34+'Cost sheet'!C43*'Cost sheet'!C49)*12+C39,0)/(1-0.25)/(1-0.15)</f>
        <v>29699826.469832819</v>
      </c>
      <c r="E51" s="192">
        <f>IFERROR(D51/('Revenue Model'!C14/Input!C13),0)</f>
        <v>2.1221740957365358</v>
      </c>
      <c r="F51" s="92">
        <f>IFERROR(D51/(Input!C10*Input!C13*12),0)</f>
        <v>30937.319239409186</v>
      </c>
      <c r="G51" s="211" t="str">
        <f>IF(E51&gt;1,"✗ &gt;100% occ needed","✓ Achievable")</f>
        <v>✗ &gt;100% occ needed</v>
      </c>
      <c r="H51" s="21"/>
    </row>
    <row r="52" spans="2:8" ht="16.2" thickBot="1" x14ac:dyDescent="0.35">
      <c r="B52" s="212" t="s">
        <v>440</v>
      </c>
      <c r="C52" s="213" t="s">
        <v>441</v>
      </c>
      <c r="D52" s="106">
        <f>IFERROR(('Cost sheet'!C34+'Cost sheet'!C43*'Cost sheet'!C49)*12+C39,0)/(1-0.25)/(1-0.3)</f>
        <v>36064074.999082707</v>
      </c>
      <c r="E52" s="214">
        <f>IFERROR(D52/('Revenue Model'!C14/Input!C13),0)</f>
        <v>2.5769256876800792</v>
      </c>
      <c r="F52" s="106">
        <f>IFERROR(D52/(Input!C10*Input!C13*12),0)</f>
        <v>37566.744790711156</v>
      </c>
      <c r="G52" s="215" t="str">
        <f>IF(E52&gt;1,"✗ &gt;100% occ needed","✓ Achievable")</f>
        <v>✗ &gt;100% occ needed</v>
      </c>
      <c r="H52" s="21"/>
    </row>
    <row r="53" spans="2:8" ht="16.2" thickBot="1" x14ac:dyDescent="0.35">
      <c r="B53" s="208"/>
      <c r="C53" s="208"/>
      <c r="D53" s="193"/>
      <c r="E53" s="193"/>
      <c r="F53" s="193"/>
      <c r="G53" s="193"/>
      <c r="H53" s="184"/>
    </row>
    <row r="54" spans="2:8" ht="17.399999999999999" x14ac:dyDescent="0.3">
      <c r="B54" s="523" t="s">
        <v>442</v>
      </c>
      <c r="C54" s="524"/>
    </row>
    <row r="55" spans="2:8" ht="15" x14ac:dyDescent="0.3">
      <c r="B55" s="61" t="s">
        <v>947</v>
      </c>
      <c r="C55" s="216" t="str">
        <f>IF(ABS(C8-'Revenue Model'!C14)&lt;1,"✓ Match","⚠ Mismatch")</f>
        <v>✓ Match</v>
      </c>
    </row>
    <row r="56" spans="2:8" ht="15" x14ac:dyDescent="0.3">
      <c r="B56" s="61" t="s">
        <v>443</v>
      </c>
      <c r="C56" s="216" t="str">
        <f>IF(ABS(C26-(C14-C24))&lt;1,"✓ Match","⚠ Mismatch")</f>
        <v>✓ Match</v>
      </c>
    </row>
    <row r="57" spans="2:8" ht="15.6" thickBot="1" x14ac:dyDescent="0.35">
      <c r="B57" s="48" t="s">
        <v>444</v>
      </c>
      <c r="C57" s="217" t="str">
        <f>IF(ABS(C43-(C41-C42))&lt;1,"✓ Match","⚠ Mismatch")</f>
        <v>✓ Match</v>
      </c>
    </row>
    <row r="59" spans="2:8" ht="15.6" x14ac:dyDescent="0.3">
      <c r="B59" s="522" t="s">
        <v>1015</v>
      </c>
      <c r="C59" s="522"/>
      <c r="D59" s="522"/>
      <c r="E59" s="522"/>
      <c r="F59" s="522"/>
      <c r="G59" s="522"/>
      <c r="H59" s="522"/>
    </row>
    <row r="60" spans="2:8" ht="15" thickBot="1" x14ac:dyDescent="0.35"/>
    <row r="61" spans="2:8" ht="17.399999999999999" x14ac:dyDescent="0.3">
      <c r="B61" s="509" t="s">
        <v>983</v>
      </c>
      <c r="C61" s="510"/>
      <c r="D61" s="510"/>
      <c r="E61" s="510"/>
      <c r="F61" s="510"/>
      <c r="G61" s="511"/>
    </row>
    <row r="62" spans="2:8" ht="15.6" x14ac:dyDescent="0.3">
      <c r="B62" s="25" t="s">
        <v>976</v>
      </c>
      <c r="C62" s="9" t="s">
        <v>341</v>
      </c>
      <c r="D62" s="9" t="s">
        <v>342</v>
      </c>
      <c r="E62" s="9" t="s">
        <v>343</v>
      </c>
      <c r="F62" s="9" t="s">
        <v>344</v>
      </c>
      <c r="G62" s="26" t="s">
        <v>345</v>
      </c>
    </row>
    <row r="63" spans="2:8" ht="15" x14ac:dyDescent="0.3">
      <c r="B63" s="343" t="s">
        <v>977</v>
      </c>
      <c r="C63" s="344">
        <f>C10</f>
        <v>10636200</v>
      </c>
      <c r="D63" s="344">
        <f t="shared" ref="D63:G63" si="1">D10</f>
        <v>11168010</v>
      </c>
      <c r="E63" s="344">
        <f t="shared" si="1"/>
        <v>11726410.5</v>
      </c>
      <c r="F63" s="344">
        <f t="shared" si="1"/>
        <v>12312731.025</v>
      </c>
      <c r="G63" s="345">
        <f t="shared" si="1"/>
        <v>12928367.57625</v>
      </c>
    </row>
    <row r="64" spans="2:8" ht="15" x14ac:dyDescent="0.3">
      <c r="B64" s="343" t="s">
        <v>978</v>
      </c>
      <c r="C64" s="344">
        <f>C13</f>
        <v>864000</v>
      </c>
      <c r="D64" s="344">
        <f t="shared" ref="D64:G64" si="2">D13</f>
        <v>907200</v>
      </c>
      <c r="E64" s="344">
        <f t="shared" si="2"/>
        <v>952560</v>
      </c>
      <c r="F64" s="344">
        <f t="shared" si="2"/>
        <v>1000188.0000000001</v>
      </c>
      <c r="G64" s="345">
        <f t="shared" si="2"/>
        <v>1050197.3999999999</v>
      </c>
    </row>
    <row r="65" spans="2:7" ht="15" x14ac:dyDescent="0.3">
      <c r="B65" s="343" t="s">
        <v>979</v>
      </c>
      <c r="C65" s="344">
        <f>C14</f>
        <v>9772200</v>
      </c>
      <c r="D65" s="344">
        <f t="shared" ref="D65:F65" si="3">D14</f>
        <v>10260810</v>
      </c>
      <c r="E65" s="344">
        <f t="shared" si="3"/>
        <v>10773850.5</v>
      </c>
      <c r="F65" s="344">
        <f t="shared" si="3"/>
        <v>11312543.025</v>
      </c>
      <c r="G65" s="345">
        <f>G14</f>
        <v>11878170.17625</v>
      </c>
    </row>
    <row r="66" spans="2:7" ht="15" x14ac:dyDescent="0.3">
      <c r="B66" s="343" t="s">
        <v>980</v>
      </c>
      <c r="C66" s="344">
        <f>C24</f>
        <v>12732639.374518419</v>
      </c>
      <c r="D66" s="344">
        <f t="shared" ref="D66:G66" si="4">D24</f>
        <v>12921039.374518419</v>
      </c>
      <c r="E66" s="344">
        <f t="shared" si="4"/>
        <v>13118859.374518419</v>
      </c>
      <c r="F66" s="344">
        <f t="shared" si="4"/>
        <v>13326570.374518419</v>
      </c>
      <c r="G66" s="345">
        <f t="shared" si="4"/>
        <v>13544666.924518419</v>
      </c>
    </row>
    <row r="67" spans="2:7" ht="15" x14ac:dyDescent="0.3">
      <c r="B67" s="343" t="s">
        <v>267</v>
      </c>
      <c r="C67" s="344">
        <f>C26</f>
        <v>-2960439.3745184187</v>
      </c>
      <c r="D67" s="344">
        <f t="shared" ref="D67:G67" si="5">D26</f>
        <v>-2660229.3745184187</v>
      </c>
      <c r="E67" s="344">
        <f t="shared" si="5"/>
        <v>-2345008.8745184187</v>
      </c>
      <c r="F67" s="344">
        <f t="shared" si="5"/>
        <v>-2014027.3495184183</v>
      </c>
      <c r="G67" s="345">
        <f t="shared" si="5"/>
        <v>-1666496.7482684199</v>
      </c>
    </row>
    <row r="68" spans="2:7" ht="15" x14ac:dyDescent="0.3">
      <c r="B68" s="343" t="s">
        <v>981</v>
      </c>
      <c r="C68" s="344">
        <f>C33</f>
        <v>1622500</v>
      </c>
      <c r="D68" s="344">
        <f t="shared" ref="D68:G68" si="6">D33</f>
        <v>1440825</v>
      </c>
      <c r="E68" s="344">
        <f t="shared" si="6"/>
        <v>1306102.75</v>
      </c>
      <c r="F68" s="344">
        <f t="shared" si="6"/>
        <v>1205438.8425</v>
      </c>
      <c r="G68" s="345">
        <f t="shared" si="6"/>
        <v>1129674.0244749999</v>
      </c>
    </row>
    <row r="69" spans="2:7" ht="15" x14ac:dyDescent="0.3">
      <c r="B69" s="343" t="s">
        <v>982</v>
      </c>
      <c r="C69" s="344">
        <f>C39</f>
        <v>5337000</v>
      </c>
      <c r="D69" s="344">
        <f t="shared" ref="D69:G69" si="7">D39</f>
        <v>4574571.4285714291</v>
      </c>
      <c r="E69" s="344">
        <f t="shared" si="7"/>
        <v>3812142.8571428573</v>
      </c>
      <c r="F69" s="344">
        <f t="shared" si="7"/>
        <v>3049714.2857142854</v>
      </c>
      <c r="G69" s="345">
        <f t="shared" si="7"/>
        <v>2287285.7142857146</v>
      </c>
    </row>
    <row r="70" spans="2:7" ht="15" x14ac:dyDescent="0.3">
      <c r="B70" s="343" t="s">
        <v>762</v>
      </c>
      <c r="C70" s="344">
        <f>C41</f>
        <v>-9919939.3745184187</v>
      </c>
      <c r="D70" s="344">
        <f t="shared" ref="D70:G70" si="8">D41</f>
        <v>-8675625.8030898478</v>
      </c>
      <c r="E70" s="344">
        <f t="shared" si="8"/>
        <v>-7463254.481661276</v>
      </c>
      <c r="F70" s="344">
        <f t="shared" si="8"/>
        <v>-6269180.477732704</v>
      </c>
      <c r="G70" s="345">
        <f t="shared" si="8"/>
        <v>-5083456.4870291343</v>
      </c>
    </row>
    <row r="71" spans="2:7" ht="15" x14ac:dyDescent="0.3">
      <c r="B71" s="343" t="s">
        <v>827</v>
      </c>
      <c r="C71" s="344">
        <f>C42</f>
        <v>0</v>
      </c>
      <c r="D71" s="344">
        <f t="shared" ref="D71:G71" si="9">D42</f>
        <v>0</v>
      </c>
      <c r="E71" s="344">
        <f t="shared" si="9"/>
        <v>0</v>
      </c>
      <c r="F71" s="344">
        <f t="shared" si="9"/>
        <v>0</v>
      </c>
      <c r="G71" s="345">
        <f t="shared" si="9"/>
        <v>0</v>
      </c>
    </row>
    <row r="72" spans="2:7" ht="15.6" thickBot="1" x14ac:dyDescent="0.35">
      <c r="B72" s="346" t="s">
        <v>925</v>
      </c>
      <c r="C72" s="347">
        <f>C43</f>
        <v>-9919939.3745184187</v>
      </c>
      <c r="D72" s="347">
        <f t="shared" ref="D72:G72" si="10">D43</f>
        <v>-8675625.8030898478</v>
      </c>
      <c r="E72" s="347">
        <f t="shared" si="10"/>
        <v>-7463254.481661276</v>
      </c>
      <c r="F72" s="347">
        <f t="shared" si="10"/>
        <v>-6269180.477732704</v>
      </c>
      <c r="G72" s="348">
        <f t="shared" si="10"/>
        <v>-5083456.4870291343</v>
      </c>
    </row>
    <row r="74" spans="2:7" ht="15" thickBot="1" x14ac:dyDescent="0.35"/>
    <row r="75" spans="2:7" ht="17.399999999999999" x14ac:dyDescent="0.3">
      <c r="B75" s="512" t="s">
        <v>984</v>
      </c>
      <c r="C75" s="507"/>
      <c r="D75" s="507"/>
      <c r="E75" s="507"/>
      <c r="F75" s="507"/>
      <c r="G75" s="508"/>
    </row>
    <row r="76" spans="2:7" ht="15.6" x14ac:dyDescent="0.3">
      <c r="B76" s="351" t="s">
        <v>336</v>
      </c>
      <c r="C76" s="350" t="s">
        <v>341</v>
      </c>
      <c r="D76" s="350" t="s">
        <v>342</v>
      </c>
      <c r="E76" s="350" t="s">
        <v>343</v>
      </c>
      <c r="F76" s="350" t="s">
        <v>344</v>
      </c>
      <c r="G76" s="352" t="s">
        <v>345</v>
      </c>
    </row>
    <row r="77" spans="2:7" ht="15.6" x14ac:dyDescent="0.3">
      <c r="B77" s="353" t="s">
        <v>397</v>
      </c>
      <c r="C77" s="241">
        <f>C8</f>
        <v>11196000</v>
      </c>
      <c r="D77" s="241">
        <f t="shared" ref="D77:G77" si="11">D8</f>
        <v>11755800</v>
      </c>
      <c r="E77" s="241">
        <f t="shared" si="11"/>
        <v>12343590</v>
      </c>
      <c r="F77" s="241">
        <f t="shared" si="11"/>
        <v>12960769.5</v>
      </c>
      <c r="G77" s="355">
        <f t="shared" si="11"/>
        <v>13608807.975</v>
      </c>
    </row>
    <row r="78" spans="2:7" ht="16.2" thickBot="1" x14ac:dyDescent="0.35">
      <c r="B78" s="354" t="s">
        <v>923</v>
      </c>
      <c r="C78" s="356">
        <f>C63</f>
        <v>10636200</v>
      </c>
      <c r="D78" s="356">
        <f>D63</f>
        <v>11168010</v>
      </c>
      <c r="E78" s="356">
        <f>E63</f>
        <v>11726410.5</v>
      </c>
      <c r="F78" s="356">
        <f>F63</f>
        <v>12312731.025</v>
      </c>
      <c r="G78" s="357">
        <f>G63</f>
        <v>12928367.57625</v>
      </c>
    </row>
    <row r="95" spans="2:7" ht="15" thickBot="1" x14ac:dyDescent="0.35"/>
    <row r="96" spans="2:7" ht="17.399999999999999" x14ac:dyDescent="0.3">
      <c r="B96" s="506" t="s">
        <v>986</v>
      </c>
      <c r="C96" s="507"/>
      <c r="D96" s="507"/>
      <c r="E96" s="507"/>
      <c r="F96" s="507"/>
      <c r="G96" s="508"/>
    </row>
    <row r="97" spans="2:7" ht="15.6" x14ac:dyDescent="0.3">
      <c r="B97" s="351" t="s">
        <v>336</v>
      </c>
      <c r="C97" s="350" t="s">
        <v>341</v>
      </c>
      <c r="D97" s="350" t="s">
        <v>342</v>
      </c>
      <c r="E97" s="350" t="s">
        <v>343</v>
      </c>
      <c r="F97" s="350" t="s">
        <v>344</v>
      </c>
      <c r="G97" s="352" t="s">
        <v>345</v>
      </c>
    </row>
    <row r="98" spans="2:7" ht="15.6" x14ac:dyDescent="0.3">
      <c r="B98" s="353" t="s">
        <v>985</v>
      </c>
      <c r="C98" s="241">
        <f>C24</f>
        <v>12732639.374518419</v>
      </c>
      <c r="D98" s="241">
        <f t="shared" ref="D98:G98" si="12">D24</f>
        <v>12921039.374518419</v>
      </c>
      <c r="E98" s="241">
        <f t="shared" si="12"/>
        <v>13118859.374518419</v>
      </c>
      <c r="F98" s="241">
        <f t="shared" si="12"/>
        <v>13326570.374518419</v>
      </c>
      <c r="G98" s="241">
        <f t="shared" si="12"/>
        <v>13544666.924518419</v>
      </c>
    </row>
    <row r="99" spans="2:7" ht="16.2" thickBot="1" x14ac:dyDescent="0.35">
      <c r="B99" s="354" t="s">
        <v>978</v>
      </c>
      <c r="C99" s="356">
        <f>C13</f>
        <v>864000</v>
      </c>
      <c r="D99" s="356">
        <f t="shared" ref="D99:G99" si="13">D13</f>
        <v>907200</v>
      </c>
      <c r="E99" s="356">
        <f t="shared" si="13"/>
        <v>952560</v>
      </c>
      <c r="F99" s="356">
        <f t="shared" si="13"/>
        <v>1000188.0000000001</v>
      </c>
      <c r="G99" s="356">
        <f t="shared" si="13"/>
        <v>1050197.3999999999</v>
      </c>
    </row>
  </sheetData>
  <mergeCells count="14">
    <mergeCell ref="B96:G96"/>
    <mergeCell ref="B61:G61"/>
    <mergeCell ref="B75:G75"/>
    <mergeCell ref="B2:H2"/>
    <mergeCell ref="B3:H3"/>
    <mergeCell ref="B5:H5"/>
    <mergeCell ref="B7:H7"/>
    <mergeCell ref="B12:H12"/>
    <mergeCell ref="B59:H59"/>
    <mergeCell ref="B17:H17"/>
    <mergeCell ref="B29:H29"/>
    <mergeCell ref="B38:H38"/>
    <mergeCell ref="B47:G47"/>
    <mergeCell ref="B54:C54"/>
  </mergeCells>
  <hyperlinks>
    <hyperlink ref="B1" location="'Navigation Tab'!A1" display="Navigation Tab" xr:uid="{80AC9C41-A799-48DE-B569-4791C9DCCB32}"/>
  </hyperlinks>
  <pageMargins left="0.75" right="0.75" top="1" bottom="1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B1:P44"/>
  <sheetViews>
    <sheetView showGridLines="0" zoomScale="85" zoomScaleNormal="85" workbookViewId="0">
      <selection activeCell="F1" sqref="F1"/>
    </sheetView>
  </sheetViews>
  <sheetFormatPr defaultColWidth="8.6640625" defaultRowHeight="14.4" x14ac:dyDescent="0.3"/>
  <cols>
    <col min="1" max="1" width="3" customWidth="1"/>
    <col min="2" max="2" width="53.6640625" customWidth="1"/>
    <col min="3" max="3" width="16.88671875" bestFit="1" customWidth="1"/>
    <col min="4" max="7" width="15.6640625" bestFit="1" customWidth="1"/>
    <col min="8" max="14" width="14.109375" bestFit="1" customWidth="1"/>
    <col min="15" max="15" width="16.88671875" bestFit="1" customWidth="1"/>
    <col min="16" max="16" width="16" customWidth="1"/>
  </cols>
  <sheetData>
    <row r="1" spans="2:16" ht="21" x14ac:dyDescent="0.4">
      <c r="B1" s="384" t="s">
        <v>1005</v>
      </c>
    </row>
    <row r="2" spans="2:16" ht="21.6" thickBot="1" x14ac:dyDescent="0.35">
      <c r="B2" s="525" t="s">
        <v>445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</row>
    <row r="3" spans="2:16" ht="16.2" thickBot="1" x14ac:dyDescent="0.35">
      <c r="B3" s="526" t="s">
        <v>446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8"/>
    </row>
    <row r="4" spans="2:16" ht="15" thickBot="1" x14ac:dyDescent="0.35"/>
    <row r="5" spans="2:16" ht="17.399999999999999" x14ac:dyDescent="0.3">
      <c r="B5" s="509" t="s">
        <v>447</v>
      </c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1"/>
    </row>
    <row r="6" spans="2:16" ht="17.399999999999999" x14ac:dyDescent="0.3">
      <c r="B6" s="218" t="s">
        <v>291</v>
      </c>
      <c r="C6" s="219" t="s">
        <v>448</v>
      </c>
      <c r="D6" s="219" t="s">
        <v>449</v>
      </c>
      <c r="E6" s="219" t="s">
        <v>450</v>
      </c>
      <c r="F6" s="219" t="s">
        <v>451</v>
      </c>
      <c r="G6" s="219" t="s">
        <v>452</v>
      </c>
      <c r="H6" s="219" t="s">
        <v>453</v>
      </c>
      <c r="I6" s="219" t="s">
        <v>454</v>
      </c>
      <c r="J6" s="219" t="s">
        <v>455</v>
      </c>
      <c r="K6" s="219" t="s">
        <v>456</v>
      </c>
      <c r="L6" s="219" t="s">
        <v>457</v>
      </c>
      <c r="M6" s="219" t="s">
        <v>458</v>
      </c>
      <c r="N6" s="219" t="s">
        <v>459</v>
      </c>
      <c r="O6" s="220" t="s">
        <v>460</v>
      </c>
    </row>
    <row r="7" spans="2:16" ht="17.399999999999999" x14ac:dyDescent="0.3">
      <c r="B7" s="529" t="s">
        <v>461</v>
      </c>
      <c r="C7" s="530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1"/>
    </row>
    <row r="8" spans="2:16" ht="15.6" x14ac:dyDescent="0.3">
      <c r="B8" s="61" t="s">
        <v>462</v>
      </c>
      <c r="C8" s="110">
        <f>Revenue!F21</f>
        <v>933000</v>
      </c>
      <c r="D8" s="110">
        <f>Revenue!F21</f>
        <v>933000</v>
      </c>
      <c r="E8" s="110">
        <f>Revenue!F21</f>
        <v>933000</v>
      </c>
      <c r="F8" s="110">
        <f>Revenue!F21</f>
        <v>933000</v>
      </c>
      <c r="G8" s="110">
        <f>Revenue!F21</f>
        <v>933000</v>
      </c>
      <c r="H8" s="110">
        <f>Revenue!F21</f>
        <v>933000</v>
      </c>
      <c r="I8" s="110">
        <f>Revenue!F21</f>
        <v>933000</v>
      </c>
      <c r="J8" s="110">
        <f>Revenue!F21</f>
        <v>933000</v>
      </c>
      <c r="K8" s="110">
        <f>Revenue!F21</f>
        <v>933000</v>
      </c>
      <c r="L8" s="110">
        <f>Revenue!F21</f>
        <v>933000</v>
      </c>
      <c r="M8" s="110">
        <f>Revenue!F21</f>
        <v>933000</v>
      </c>
      <c r="N8" s="110">
        <f>Revenue!F21</f>
        <v>933000</v>
      </c>
      <c r="O8" s="195">
        <f>SUM(C8:N8)</f>
        <v>11196000</v>
      </c>
    </row>
    <row r="9" spans="2:16" ht="15.6" x14ac:dyDescent="0.3">
      <c r="B9" s="61" t="s">
        <v>463</v>
      </c>
      <c r="C9" s="223">
        <f>Revenue!F21*Input!C25</f>
        <v>1866000</v>
      </c>
      <c r="D9" s="92">
        <f>0</f>
        <v>0</v>
      </c>
      <c r="E9" s="92">
        <f>0</f>
        <v>0</v>
      </c>
      <c r="F9" s="92">
        <f>0</f>
        <v>0</v>
      </c>
      <c r="G9" s="92">
        <f>0</f>
        <v>0</v>
      </c>
      <c r="H9" s="92">
        <f>0</f>
        <v>0</v>
      </c>
      <c r="I9" s="92">
        <f>0</f>
        <v>0</v>
      </c>
      <c r="J9" s="92">
        <f>0</f>
        <v>0</v>
      </c>
      <c r="K9" s="92">
        <f>0</f>
        <v>0</v>
      </c>
      <c r="L9" s="92">
        <f>0</f>
        <v>0</v>
      </c>
      <c r="M9" s="92">
        <f>0</f>
        <v>0</v>
      </c>
      <c r="N9" s="92">
        <f>0</f>
        <v>0</v>
      </c>
      <c r="O9" s="195">
        <f>SUM(C9:N9)</f>
        <v>1866000</v>
      </c>
    </row>
    <row r="10" spans="2:16" ht="15.6" x14ac:dyDescent="0.3">
      <c r="B10" s="61" t="s">
        <v>464</v>
      </c>
      <c r="C10" s="92">
        <f>Revenue!F19+Revenue!F20</f>
        <v>156000</v>
      </c>
      <c r="D10" s="92">
        <f>Revenue!F19+Revenue!F20</f>
        <v>156000</v>
      </c>
      <c r="E10" s="92">
        <f>Revenue!F19+Revenue!F20</f>
        <v>156000</v>
      </c>
      <c r="F10" s="92">
        <f>Revenue!F19+Revenue!F20</f>
        <v>156000</v>
      </c>
      <c r="G10" s="92">
        <f>Revenue!F19+Revenue!F20</f>
        <v>156000</v>
      </c>
      <c r="H10" s="92">
        <f>Revenue!F19+Revenue!F20</f>
        <v>156000</v>
      </c>
      <c r="I10" s="92">
        <f>Revenue!F19+Revenue!F20</f>
        <v>156000</v>
      </c>
      <c r="J10" s="92">
        <f>Revenue!F19+Revenue!F20</f>
        <v>156000</v>
      </c>
      <c r="K10" s="92">
        <f>Revenue!F19+Revenue!F20</f>
        <v>156000</v>
      </c>
      <c r="L10" s="92">
        <f>Revenue!F19+Revenue!F20</f>
        <v>156000</v>
      </c>
      <c r="M10" s="92">
        <f>Revenue!F19+Revenue!F20</f>
        <v>156000</v>
      </c>
      <c r="N10" s="92">
        <f>Revenue!F19+Revenue!F20</f>
        <v>156000</v>
      </c>
      <c r="O10" s="195">
        <f>SUM(C10:N10)</f>
        <v>1872000</v>
      </c>
    </row>
    <row r="11" spans="2:16" ht="16.2" thickBot="1" x14ac:dyDescent="0.35">
      <c r="B11" s="224" t="s">
        <v>465</v>
      </c>
      <c r="C11" s="225">
        <f t="shared" ref="C11:N11" si="0">SUM(C8:C10)</f>
        <v>2955000</v>
      </c>
      <c r="D11" s="225">
        <f t="shared" si="0"/>
        <v>1089000</v>
      </c>
      <c r="E11" s="225">
        <f t="shared" si="0"/>
        <v>1089000</v>
      </c>
      <c r="F11" s="225">
        <f t="shared" si="0"/>
        <v>1089000</v>
      </c>
      <c r="G11" s="225">
        <f t="shared" si="0"/>
        <v>1089000</v>
      </c>
      <c r="H11" s="225">
        <f t="shared" si="0"/>
        <v>1089000</v>
      </c>
      <c r="I11" s="225">
        <f t="shared" si="0"/>
        <v>1089000</v>
      </c>
      <c r="J11" s="225">
        <f t="shared" si="0"/>
        <v>1089000</v>
      </c>
      <c r="K11" s="225">
        <f t="shared" si="0"/>
        <v>1089000</v>
      </c>
      <c r="L11" s="225">
        <f t="shared" si="0"/>
        <v>1089000</v>
      </c>
      <c r="M11" s="225">
        <f t="shared" si="0"/>
        <v>1089000</v>
      </c>
      <c r="N11" s="225">
        <f t="shared" si="0"/>
        <v>1089000</v>
      </c>
      <c r="O11" s="226">
        <f>SUM(C11:N11)</f>
        <v>14934000</v>
      </c>
    </row>
    <row r="12" spans="2:16" ht="16.2" thickBot="1" x14ac:dyDescent="0.35"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</row>
    <row r="13" spans="2:16" ht="17.399999999999999" x14ac:dyDescent="0.3">
      <c r="B13" s="488" t="s">
        <v>466</v>
      </c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89"/>
      <c r="N13" s="489"/>
      <c r="O13" s="490"/>
    </row>
    <row r="14" spans="2:16" ht="15" x14ac:dyDescent="0.3">
      <c r="B14" s="61" t="s">
        <v>467</v>
      </c>
      <c r="C14" s="92">
        <f>'Cost sheet'!C20</f>
        <v>747053.28120986826</v>
      </c>
      <c r="D14" s="92">
        <f>'Cost sheet'!C20</f>
        <v>747053.28120986826</v>
      </c>
      <c r="E14" s="92">
        <f>'Cost sheet'!C20</f>
        <v>747053.28120986826</v>
      </c>
      <c r="F14" s="92">
        <f>'Cost sheet'!C20</f>
        <v>747053.28120986826</v>
      </c>
      <c r="G14" s="92">
        <f>'Cost sheet'!C20</f>
        <v>747053.28120986826</v>
      </c>
      <c r="H14" s="92">
        <f>'Cost sheet'!C20</f>
        <v>747053.28120986826</v>
      </c>
      <c r="I14" s="92">
        <f>'Cost sheet'!C20</f>
        <v>747053.28120986826</v>
      </c>
      <c r="J14" s="92">
        <f>'Cost sheet'!C20</f>
        <v>747053.28120986826</v>
      </c>
      <c r="K14" s="92">
        <f>'Cost sheet'!C20</f>
        <v>747053.28120986826</v>
      </c>
      <c r="L14" s="92">
        <f>'Cost sheet'!C20</f>
        <v>747053.28120986826</v>
      </c>
      <c r="M14" s="92">
        <f>'Cost sheet'!C20</f>
        <v>747053.28120986826</v>
      </c>
      <c r="N14" s="92">
        <f>'Cost sheet'!C20</f>
        <v>747053.28120986826</v>
      </c>
      <c r="O14" s="62">
        <f t="shared" ref="O14:O19" si="1">SUM(C14:N14)</f>
        <v>8964639.3745184187</v>
      </c>
    </row>
    <row r="15" spans="2:16" ht="15" x14ac:dyDescent="0.3">
      <c r="B15" s="61" t="s">
        <v>468</v>
      </c>
      <c r="C15" s="92">
        <f>'Cost sheet'!C21+'Cost sheet'!C22+'Cost sheet'!C23+'Cost sheet'!C24+'Cost sheet'!C25+'Cost sheet'!C26</f>
        <v>199000</v>
      </c>
      <c r="D15" s="92">
        <f>'Cost sheet'!C21+'Cost sheet'!C22+'Cost sheet'!C23+'Cost sheet'!C24+'Cost sheet'!C25+'Cost sheet'!C26</f>
        <v>199000</v>
      </c>
      <c r="E15" s="92">
        <f>'Cost sheet'!C21+'Cost sheet'!C22+'Cost sheet'!C23+'Cost sheet'!C24+'Cost sheet'!C25+'Cost sheet'!C26</f>
        <v>199000</v>
      </c>
      <c r="F15" s="92">
        <f>'Cost sheet'!C21+'Cost sheet'!C22+'Cost sheet'!C23+'Cost sheet'!C24+'Cost sheet'!C25+'Cost sheet'!C26</f>
        <v>199000</v>
      </c>
      <c r="G15" s="92">
        <f>'Cost sheet'!C21+'Cost sheet'!C22+'Cost sheet'!C23+'Cost sheet'!C24+'Cost sheet'!C25+'Cost sheet'!C26</f>
        <v>199000</v>
      </c>
      <c r="H15" s="92">
        <f>'Cost sheet'!C21+'Cost sheet'!C22+'Cost sheet'!C23+'Cost sheet'!C24+'Cost sheet'!C25+'Cost sheet'!C26</f>
        <v>199000</v>
      </c>
      <c r="I15" s="92">
        <f>'Cost sheet'!C21+'Cost sheet'!C22+'Cost sheet'!C23+'Cost sheet'!C24+'Cost sheet'!C25+'Cost sheet'!C26</f>
        <v>199000</v>
      </c>
      <c r="J15" s="92">
        <f>'Cost sheet'!C21+'Cost sheet'!C22+'Cost sheet'!C23+'Cost sheet'!C24+'Cost sheet'!C25+'Cost sheet'!C26</f>
        <v>199000</v>
      </c>
      <c r="K15" s="92">
        <f>'Cost sheet'!C21+'Cost sheet'!C22+'Cost sheet'!C23+'Cost sheet'!C24+'Cost sheet'!C25+'Cost sheet'!C26</f>
        <v>199000</v>
      </c>
      <c r="L15" s="92">
        <f>'Cost sheet'!C21+'Cost sheet'!C22+'Cost sheet'!C23+'Cost sheet'!C24+'Cost sheet'!C25+'Cost sheet'!C26</f>
        <v>199000</v>
      </c>
      <c r="M15" s="92">
        <f>'Cost sheet'!C21+'Cost sheet'!C22+'Cost sheet'!C23+'Cost sheet'!C24+'Cost sheet'!C25+'Cost sheet'!C26</f>
        <v>199000</v>
      </c>
      <c r="N15" s="92">
        <f>'Cost sheet'!C21+'Cost sheet'!C22+'Cost sheet'!C23+'Cost sheet'!C24+'Cost sheet'!C25+'Cost sheet'!C26</f>
        <v>199000</v>
      </c>
      <c r="O15" s="62">
        <f t="shared" si="1"/>
        <v>2388000</v>
      </c>
    </row>
    <row r="16" spans="2:16" ht="15" x14ac:dyDescent="0.3">
      <c r="B16" s="61" t="s">
        <v>469</v>
      </c>
      <c r="C16" s="92">
        <f>'Cost sheet'!C27+'Cost sheet'!C28+'Cost sheet'!C29+'Cost sheet'!C30+'Cost sheet'!C31+'Cost sheet'!C32+'Cost sheet'!C33</f>
        <v>115000</v>
      </c>
      <c r="D16" s="92">
        <f>'Cost sheet'!C27+'Cost sheet'!C28+'Cost sheet'!C29+'Cost sheet'!C30+'Cost sheet'!C31+'Cost sheet'!C32+'Cost sheet'!C33</f>
        <v>115000</v>
      </c>
      <c r="E16" s="92">
        <f>'Cost sheet'!C27+'Cost sheet'!C28+'Cost sheet'!C29+'Cost sheet'!C30+'Cost sheet'!C31+'Cost sheet'!C32+'Cost sheet'!C33</f>
        <v>115000</v>
      </c>
      <c r="F16" s="92">
        <f>'Cost sheet'!C27+'Cost sheet'!C28+'Cost sheet'!C29+'Cost sheet'!C30+'Cost sheet'!C31+'Cost sheet'!C32+'Cost sheet'!C33</f>
        <v>115000</v>
      </c>
      <c r="G16" s="92">
        <f>'Cost sheet'!C27+'Cost sheet'!C28+'Cost sheet'!C29+'Cost sheet'!C30+'Cost sheet'!C31+'Cost sheet'!C32+'Cost sheet'!C33</f>
        <v>115000</v>
      </c>
      <c r="H16" s="92">
        <f>'Cost sheet'!C27+'Cost sheet'!C28+'Cost sheet'!C29+'Cost sheet'!C30+'Cost sheet'!C31+'Cost sheet'!C32+'Cost sheet'!C33</f>
        <v>115000</v>
      </c>
      <c r="I16" s="92">
        <f>'Cost sheet'!C27+'Cost sheet'!C28+'Cost sheet'!C29+'Cost sheet'!C30+'Cost sheet'!C31+'Cost sheet'!C32+'Cost sheet'!C33</f>
        <v>115000</v>
      </c>
      <c r="J16" s="92">
        <f>'Cost sheet'!C27+'Cost sheet'!C28+'Cost sheet'!C29+'Cost sheet'!C30+'Cost sheet'!C31+'Cost sheet'!C32+'Cost sheet'!C33</f>
        <v>115000</v>
      </c>
      <c r="K16" s="92">
        <f>'Cost sheet'!C27+'Cost sheet'!C28+'Cost sheet'!C29+'Cost sheet'!C30+'Cost sheet'!C31+'Cost sheet'!C32+'Cost sheet'!C33</f>
        <v>115000</v>
      </c>
      <c r="L16" s="92">
        <f>'Cost sheet'!C27+'Cost sheet'!C28+'Cost sheet'!C29+'Cost sheet'!C30+'Cost sheet'!C31+'Cost sheet'!C32+'Cost sheet'!C33</f>
        <v>115000</v>
      </c>
      <c r="M16" s="92">
        <f>'Cost sheet'!C27+'Cost sheet'!C28+'Cost sheet'!C29+'Cost sheet'!C30+'Cost sheet'!C31+'Cost sheet'!C32+'Cost sheet'!C33</f>
        <v>115000</v>
      </c>
      <c r="N16" s="92">
        <f>'Cost sheet'!C27+'Cost sheet'!C28+'Cost sheet'!C29+'Cost sheet'!C30+'Cost sheet'!C31+'Cost sheet'!C32+'Cost sheet'!C33</f>
        <v>115000</v>
      </c>
      <c r="O16" s="62">
        <f t="shared" si="1"/>
        <v>1380000</v>
      </c>
    </row>
    <row r="17" spans="2:15" ht="15" x14ac:dyDescent="0.3">
      <c r="B17" s="61" t="s">
        <v>470</v>
      </c>
      <c r="C17" s="92">
        <f>'Cost sheet'!C49*'Cost sheet'!C43</f>
        <v>72000</v>
      </c>
      <c r="D17" s="92">
        <f>'Cost sheet'!C49*'Cost sheet'!C43</f>
        <v>72000</v>
      </c>
      <c r="E17" s="92">
        <f>'Cost sheet'!C49*'Cost sheet'!C43</f>
        <v>72000</v>
      </c>
      <c r="F17" s="92">
        <f>'Cost sheet'!C49*'Cost sheet'!C43</f>
        <v>72000</v>
      </c>
      <c r="G17" s="92">
        <f>'Cost sheet'!C49*'Cost sheet'!C43</f>
        <v>72000</v>
      </c>
      <c r="H17" s="92">
        <f>'Cost sheet'!C49*'Cost sheet'!C43</f>
        <v>72000</v>
      </c>
      <c r="I17" s="92">
        <f>'Cost sheet'!C49*'Cost sheet'!C43</f>
        <v>72000</v>
      </c>
      <c r="J17" s="92">
        <f>'Cost sheet'!C49*'Cost sheet'!C43</f>
        <v>72000</v>
      </c>
      <c r="K17" s="92">
        <f>'Cost sheet'!C49*'Cost sheet'!C43</f>
        <v>72000</v>
      </c>
      <c r="L17" s="92">
        <f>'Cost sheet'!C49*'Cost sheet'!C43</f>
        <v>72000</v>
      </c>
      <c r="M17" s="92">
        <f>'Cost sheet'!C49*'Cost sheet'!C43</f>
        <v>72000</v>
      </c>
      <c r="N17" s="92">
        <f>'Cost sheet'!C49*'Cost sheet'!C43</f>
        <v>72000</v>
      </c>
      <c r="O17" s="62">
        <f t="shared" si="1"/>
        <v>864000</v>
      </c>
    </row>
    <row r="18" spans="2:15" ht="15" x14ac:dyDescent="0.3">
      <c r="B18" s="61" t="s">
        <v>471</v>
      </c>
      <c r="C18" s="223">
        <f>'Cost sheet'!C84</f>
        <v>35580000</v>
      </c>
      <c r="D18" s="92">
        <f>0</f>
        <v>0</v>
      </c>
      <c r="E18" s="92">
        <f>0</f>
        <v>0</v>
      </c>
      <c r="F18" s="92">
        <f>0</f>
        <v>0</v>
      </c>
      <c r="G18" s="92">
        <f>0</f>
        <v>0</v>
      </c>
      <c r="H18" s="92">
        <f>0</f>
        <v>0</v>
      </c>
      <c r="I18" s="92">
        <f>0</f>
        <v>0</v>
      </c>
      <c r="J18" s="92">
        <f>0</f>
        <v>0</v>
      </c>
      <c r="K18" s="92">
        <f>0</f>
        <v>0</v>
      </c>
      <c r="L18" s="92">
        <f>0</f>
        <v>0</v>
      </c>
      <c r="M18" s="92">
        <f>0</f>
        <v>0</v>
      </c>
      <c r="N18" s="92">
        <f>0</f>
        <v>0</v>
      </c>
      <c r="O18" s="62">
        <f t="shared" si="1"/>
        <v>35580000</v>
      </c>
    </row>
    <row r="19" spans="2:15" ht="16.2" thickBot="1" x14ac:dyDescent="0.35">
      <c r="B19" s="231" t="s">
        <v>472</v>
      </c>
      <c r="C19" s="232">
        <f t="shared" ref="C19:N19" si="2">SUM(C14:C18)</f>
        <v>36713053.281209871</v>
      </c>
      <c r="D19" s="232">
        <f t="shared" si="2"/>
        <v>1133053.2812098684</v>
      </c>
      <c r="E19" s="232">
        <f t="shared" si="2"/>
        <v>1133053.2812098684</v>
      </c>
      <c r="F19" s="232">
        <f t="shared" si="2"/>
        <v>1133053.2812098684</v>
      </c>
      <c r="G19" s="232">
        <f t="shared" si="2"/>
        <v>1133053.2812098684</v>
      </c>
      <c r="H19" s="232">
        <f t="shared" si="2"/>
        <v>1133053.2812098684</v>
      </c>
      <c r="I19" s="232">
        <f t="shared" si="2"/>
        <v>1133053.2812098684</v>
      </c>
      <c r="J19" s="232">
        <f t="shared" si="2"/>
        <v>1133053.2812098684</v>
      </c>
      <c r="K19" s="232">
        <f t="shared" si="2"/>
        <v>1133053.2812098684</v>
      </c>
      <c r="L19" s="232">
        <f t="shared" si="2"/>
        <v>1133053.2812098684</v>
      </c>
      <c r="M19" s="232">
        <f t="shared" si="2"/>
        <v>1133053.2812098684</v>
      </c>
      <c r="N19" s="232">
        <f t="shared" si="2"/>
        <v>1133053.2812098684</v>
      </c>
      <c r="O19" s="233">
        <f t="shared" si="1"/>
        <v>49176639.374518454</v>
      </c>
    </row>
    <row r="20" spans="2:15" ht="16.2" thickBot="1" x14ac:dyDescent="0.35"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</row>
    <row r="21" spans="2:15" ht="17.399999999999999" x14ac:dyDescent="0.3">
      <c r="B21" s="488" t="s">
        <v>473</v>
      </c>
      <c r="C21" s="489"/>
      <c r="D21" s="489"/>
      <c r="E21" s="489"/>
      <c r="F21" s="489"/>
      <c r="G21" s="489"/>
      <c r="H21" s="489"/>
      <c r="I21" s="489"/>
      <c r="J21" s="489"/>
      <c r="K21" s="489"/>
      <c r="L21" s="489"/>
      <c r="M21" s="489"/>
      <c r="N21" s="489"/>
      <c r="O21" s="490"/>
    </row>
    <row r="22" spans="2:15" ht="15.6" x14ac:dyDescent="0.3">
      <c r="B22" s="203" t="s">
        <v>474</v>
      </c>
      <c r="C22" s="190">
        <f t="shared" ref="C22:N22" si="3">C11-C19</f>
        <v>-33758053.281209871</v>
      </c>
      <c r="D22" s="190">
        <f t="shared" si="3"/>
        <v>-44053.281209868379</v>
      </c>
      <c r="E22" s="190">
        <f t="shared" si="3"/>
        <v>-44053.281209868379</v>
      </c>
      <c r="F22" s="190">
        <f t="shared" si="3"/>
        <v>-44053.281209868379</v>
      </c>
      <c r="G22" s="190">
        <f t="shared" si="3"/>
        <v>-44053.281209868379</v>
      </c>
      <c r="H22" s="190">
        <f t="shared" si="3"/>
        <v>-44053.281209868379</v>
      </c>
      <c r="I22" s="190">
        <f t="shared" si="3"/>
        <v>-44053.281209868379</v>
      </c>
      <c r="J22" s="190">
        <f t="shared" si="3"/>
        <v>-44053.281209868379</v>
      </c>
      <c r="K22" s="190">
        <f t="shared" si="3"/>
        <v>-44053.281209868379</v>
      </c>
      <c r="L22" s="190">
        <f t="shared" si="3"/>
        <v>-44053.281209868379</v>
      </c>
      <c r="M22" s="190">
        <f t="shared" si="3"/>
        <v>-44053.281209868379</v>
      </c>
      <c r="N22" s="190">
        <f t="shared" si="3"/>
        <v>-44053.281209868379</v>
      </c>
      <c r="O22" s="204">
        <f>SUM(C22:N22)</f>
        <v>-34242639.374518454</v>
      </c>
    </row>
    <row r="23" spans="2:15" ht="15.6" x14ac:dyDescent="0.3">
      <c r="B23" s="61" t="s">
        <v>475</v>
      </c>
      <c r="C23" s="227">
        <f>'Cost sheet'!C79</f>
        <v>53370000</v>
      </c>
      <c r="D23" s="227">
        <f t="shared" ref="D23:N23" si="4">C24</f>
        <v>19611946.718790129</v>
      </c>
      <c r="E23" s="227">
        <f t="shared" si="4"/>
        <v>19567893.437580261</v>
      </c>
      <c r="F23" s="227">
        <f t="shared" si="4"/>
        <v>19523840.156370394</v>
      </c>
      <c r="G23" s="227">
        <f t="shared" si="4"/>
        <v>19479786.875160526</v>
      </c>
      <c r="H23" s="227">
        <f t="shared" si="4"/>
        <v>19435733.593950659</v>
      </c>
      <c r="I23" s="227">
        <f t="shared" si="4"/>
        <v>19391680.312740792</v>
      </c>
      <c r="J23" s="227">
        <f t="shared" si="4"/>
        <v>19347627.031530924</v>
      </c>
      <c r="K23" s="227">
        <f t="shared" si="4"/>
        <v>19303573.750321057</v>
      </c>
      <c r="L23" s="227">
        <f t="shared" si="4"/>
        <v>19259520.469111189</v>
      </c>
      <c r="M23" s="227">
        <f t="shared" si="4"/>
        <v>19215467.187901322</v>
      </c>
      <c r="N23" s="227">
        <f t="shared" si="4"/>
        <v>19171413.906691454</v>
      </c>
      <c r="O23" s="234"/>
    </row>
    <row r="24" spans="2:15" ht="16.2" thickBot="1" x14ac:dyDescent="0.35">
      <c r="B24" s="235" t="s">
        <v>476</v>
      </c>
      <c r="C24" s="236">
        <f t="shared" ref="C24:N24" si="5">C23+C22</f>
        <v>19611946.718790129</v>
      </c>
      <c r="D24" s="236">
        <f t="shared" si="5"/>
        <v>19567893.437580261</v>
      </c>
      <c r="E24" s="236">
        <f t="shared" si="5"/>
        <v>19523840.156370394</v>
      </c>
      <c r="F24" s="236">
        <f t="shared" si="5"/>
        <v>19479786.875160526</v>
      </c>
      <c r="G24" s="236">
        <f t="shared" si="5"/>
        <v>19435733.593950659</v>
      </c>
      <c r="H24" s="236">
        <f t="shared" si="5"/>
        <v>19391680.312740792</v>
      </c>
      <c r="I24" s="236">
        <f t="shared" si="5"/>
        <v>19347627.031530924</v>
      </c>
      <c r="J24" s="236">
        <f t="shared" si="5"/>
        <v>19303573.750321057</v>
      </c>
      <c r="K24" s="236">
        <f t="shared" si="5"/>
        <v>19259520.469111189</v>
      </c>
      <c r="L24" s="236">
        <f t="shared" si="5"/>
        <v>19215467.187901322</v>
      </c>
      <c r="M24" s="236">
        <f t="shared" si="5"/>
        <v>19171413.906691454</v>
      </c>
      <c r="N24" s="236">
        <f t="shared" si="5"/>
        <v>19127360.625481587</v>
      </c>
      <c r="O24" s="226">
        <f>N24</f>
        <v>19127360.625481587</v>
      </c>
    </row>
    <row r="25" spans="2:15" ht="16.2" thickBot="1" x14ac:dyDescent="0.35">
      <c r="B25" s="208"/>
      <c r="C25" s="208"/>
      <c r="D25" s="208"/>
      <c r="E25" s="208"/>
      <c r="F25" s="208"/>
      <c r="G25" s="208"/>
      <c r="H25" s="193"/>
      <c r="I25" s="193"/>
      <c r="J25" s="193"/>
      <c r="K25" s="193"/>
      <c r="L25" s="193"/>
      <c r="M25" s="193"/>
      <c r="N25" s="193"/>
      <c r="O25" s="193"/>
    </row>
    <row r="26" spans="2:15" ht="17.399999999999999" x14ac:dyDescent="0.3">
      <c r="B26" s="488" t="s">
        <v>477</v>
      </c>
      <c r="C26" s="489"/>
      <c r="D26" s="489"/>
      <c r="E26" s="489"/>
      <c r="F26" s="489"/>
      <c r="G26" s="490"/>
      <c r="H26" s="21"/>
      <c r="I26" s="21"/>
      <c r="J26" s="21"/>
      <c r="K26" s="21"/>
      <c r="L26" s="21"/>
      <c r="M26" s="21"/>
      <c r="N26" s="21"/>
      <c r="O26" s="21"/>
    </row>
    <row r="27" spans="2:15" ht="15.6" x14ac:dyDescent="0.3">
      <c r="B27" s="25" t="s">
        <v>291</v>
      </c>
      <c r="C27" s="9" t="s">
        <v>342</v>
      </c>
      <c r="D27" s="9" t="s">
        <v>343</v>
      </c>
      <c r="E27" s="9" t="s">
        <v>344</v>
      </c>
      <c r="F27" s="9" t="s">
        <v>345</v>
      </c>
      <c r="G27" s="26" t="s">
        <v>478</v>
      </c>
      <c r="H27" s="21"/>
      <c r="I27" s="21"/>
      <c r="J27" s="21"/>
      <c r="K27" s="21"/>
      <c r="L27" s="21"/>
      <c r="M27" s="21"/>
      <c r="N27" s="21"/>
      <c r="O27" s="21"/>
    </row>
    <row r="28" spans="2:15" ht="15.6" x14ac:dyDescent="0.3">
      <c r="B28" s="61" t="s">
        <v>479</v>
      </c>
      <c r="C28" s="110">
        <f>'P&amp;L'!C10</f>
        <v>10636200</v>
      </c>
      <c r="D28" s="110">
        <f>'P&amp;L'!D10</f>
        <v>11168010</v>
      </c>
      <c r="E28" s="110">
        <f>'P&amp;L'!E10</f>
        <v>11726410.5</v>
      </c>
      <c r="F28" s="110">
        <f>'P&amp;L'!F10</f>
        <v>12312731.025</v>
      </c>
      <c r="G28" s="62">
        <f>SUM(C28:F28)</f>
        <v>45843351.524999999</v>
      </c>
      <c r="H28" s="21"/>
      <c r="I28" s="21"/>
      <c r="J28" s="21"/>
      <c r="K28" s="21"/>
      <c r="L28" s="21"/>
      <c r="M28" s="21"/>
      <c r="N28" s="21"/>
      <c r="O28" s="21"/>
    </row>
    <row r="29" spans="2:15" ht="15.6" x14ac:dyDescent="0.3">
      <c r="B29" s="61" t="s">
        <v>480</v>
      </c>
      <c r="C29" s="228">
        <f>'P&amp;L'!C13+'P&amp;L'!C24</f>
        <v>13596639.374518419</v>
      </c>
      <c r="D29" s="228">
        <f>'P&amp;L'!D13+'P&amp;L'!D24</f>
        <v>13828239.374518419</v>
      </c>
      <c r="E29" s="228">
        <f>'P&amp;L'!E13+'P&amp;L'!E24</f>
        <v>14071419.374518419</v>
      </c>
      <c r="F29" s="228">
        <f>'P&amp;L'!F13+'P&amp;L'!F24</f>
        <v>14326758.374518419</v>
      </c>
      <c r="G29" s="62">
        <f>SUM(C29:F29)</f>
        <v>55823056.498073675</v>
      </c>
      <c r="H29" s="21"/>
      <c r="I29" s="21"/>
      <c r="J29" s="21"/>
      <c r="K29" s="21"/>
      <c r="L29" s="21"/>
      <c r="M29" s="21"/>
      <c r="N29" s="21"/>
      <c r="O29" s="21"/>
    </row>
    <row r="30" spans="2:15" ht="15.6" x14ac:dyDescent="0.3">
      <c r="B30" s="61" t="s">
        <v>481</v>
      </c>
      <c r="C30" s="191">
        <f>C28-C29</f>
        <v>-2960439.3745184187</v>
      </c>
      <c r="D30" s="191">
        <f>D28-D29</f>
        <v>-2660229.3745184187</v>
      </c>
      <c r="E30" s="191">
        <f>E28-E29</f>
        <v>-2345008.8745184187</v>
      </c>
      <c r="F30" s="191">
        <f>F28-F29</f>
        <v>-2014027.3495184183</v>
      </c>
      <c r="G30" s="204">
        <f>SUM(C30:F30)</f>
        <v>-9979704.9730736744</v>
      </c>
      <c r="H30" s="21"/>
      <c r="I30" s="21"/>
      <c r="J30" s="21"/>
      <c r="K30" s="21"/>
      <c r="L30" s="21"/>
      <c r="M30" s="21"/>
      <c r="N30" s="21"/>
      <c r="O30" s="21"/>
    </row>
    <row r="31" spans="2:15" ht="15.6" x14ac:dyDescent="0.3">
      <c r="B31" s="61" t="s">
        <v>475</v>
      </c>
      <c r="C31" s="227">
        <f>N24</f>
        <v>19127360.625481587</v>
      </c>
      <c r="D31" s="227">
        <f>C32</f>
        <v>16166921.250963168</v>
      </c>
      <c r="E31" s="227">
        <f>D32</f>
        <v>13506691.87644475</v>
      </c>
      <c r="F31" s="227">
        <f>E32</f>
        <v>11161683.001926331</v>
      </c>
      <c r="G31" s="234"/>
      <c r="H31" s="21"/>
      <c r="I31" s="241"/>
      <c r="J31" s="21"/>
      <c r="K31" s="21"/>
      <c r="L31" s="21"/>
      <c r="M31" s="21"/>
      <c r="N31" s="21"/>
      <c r="O31" s="21"/>
    </row>
    <row r="32" spans="2:15" ht="16.2" thickBot="1" x14ac:dyDescent="0.35">
      <c r="B32" s="235" t="s">
        <v>476</v>
      </c>
      <c r="C32" s="236">
        <f>C31+C30</f>
        <v>16166921.250963168</v>
      </c>
      <c r="D32" s="236">
        <f>D31+D30</f>
        <v>13506691.87644475</v>
      </c>
      <c r="E32" s="236">
        <f>E31+E30</f>
        <v>11161683.001926331</v>
      </c>
      <c r="F32" s="236">
        <f>F31+F30</f>
        <v>9147655.6524079125</v>
      </c>
      <c r="G32" s="226">
        <f>F32</f>
        <v>9147655.6524079125</v>
      </c>
      <c r="H32" s="21"/>
      <c r="I32" s="21"/>
      <c r="J32" s="21"/>
      <c r="K32" s="21"/>
      <c r="L32" s="21"/>
      <c r="M32" s="21"/>
      <c r="N32" s="21"/>
      <c r="O32" s="21"/>
    </row>
    <row r="33" spans="2:15" ht="15.6" x14ac:dyDescent="0.3">
      <c r="C33" s="193"/>
      <c r="D33" s="193"/>
      <c r="E33" s="193"/>
      <c r="F33" s="193"/>
      <c r="G33" s="193"/>
      <c r="H33" s="21"/>
      <c r="I33" s="21"/>
      <c r="J33" s="21"/>
      <c r="K33" s="21"/>
      <c r="L33" s="21"/>
      <c r="M33" s="21"/>
      <c r="N33" s="21"/>
      <c r="O33" s="21"/>
    </row>
    <row r="34" spans="2:15" ht="15.6" x14ac:dyDescent="0.3">
      <c r="B34" s="229" t="s">
        <v>482</v>
      </c>
      <c r="C34" s="230"/>
      <c r="D34" s="230"/>
      <c r="E34" s="230"/>
      <c r="F34" s="230"/>
      <c r="G34" s="230"/>
      <c r="H34" s="21"/>
      <c r="I34" s="21"/>
      <c r="J34" s="21"/>
      <c r="K34" s="21"/>
      <c r="L34" s="21"/>
      <c r="M34" s="21"/>
      <c r="N34" s="21"/>
      <c r="O34" s="21"/>
    </row>
    <row r="35" spans="2:15" ht="16.2" thickBot="1" x14ac:dyDescent="0.35">
      <c r="B35" s="237"/>
      <c r="C35" s="238"/>
      <c r="D35" s="230"/>
      <c r="E35" s="230"/>
      <c r="F35" s="230"/>
      <c r="G35" s="230"/>
      <c r="H35" s="21"/>
      <c r="I35" s="21"/>
      <c r="J35" s="21"/>
      <c r="K35" s="21"/>
      <c r="L35" s="21"/>
      <c r="M35" s="21"/>
      <c r="N35" s="21"/>
      <c r="O35" s="21"/>
    </row>
    <row r="36" spans="2:15" ht="17.399999999999999" x14ac:dyDescent="0.3">
      <c r="B36" s="125" t="s">
        <v>483</v>
      </c>
      <c r="C36" s="127"/>
      <c r="D36" s="21"/>
      <c r="E36" s="21"/>
      <c r="F36" s="21"/>
      <c r="G36" s="21"/>
      <c r="H36" s="21"/>
      <c r="I36" s="21"/>
      <c r="J36" s="21"/>
      <c r="K36" s="21"/>
    </row>
    <row r="37" spans="2:15" ht="15.6" x14ac:dyDescent="0.3">
      <c r="B37" s="61" t="s">
        <v>484</v>
      </c>
      <c r="C37" s="62">
        <f>MIN(C24:N24)</f>
        <v>19127360.625481587</v>
      </c>
      <c r="D37" s="21"/>
      <c r="E37" s="21"/>
      <c r="F37" s="21"/>
      <c r="G37" s="21"/>
      <c r="H37" s="21"/>
      <c r="I37" s="21"/>
      <c r="J37" s="21"/>
      <c r="K37" s="21"/>
    </row>
    <row r="38" spans="2:15" ht="15.6" x14ac:dyDescent="0.3">
      <c r="B38" s="61" t="s">
        <v>485</v>
      </c>
      <c r="C38" s="62">
        <f>MAX(C24:N24)</f>
        <v>19611946.718790129</v>
      </c>
      <c r="D38" s="21"/>
      <c r="E38" s="21"/>
      <c r="F38" s="21"/>
      <c r="G38" s="21"/>
      <c r="H38" s="21"/>
      <c r="I38" s="21"/>
      <c r="J38" s="21"/>
      <c r="K38" s="21"/>
    </row>
    <row r="39" spans="2:15" ht="15.6" x14ac:dyDescent="0.3">
      <c r="B39" s="61" t="s">
        <v>486</v>
      </c>
      <c r="C39" s="239">
        <f>COUNTIF(C24:N24,"&lt;0")</f>
        <v>0</v>
      </c>
      <c r="D39" s="21"/>
      <c r="E39" s="21"/>
      <c r="F39" s="21"/>
      <c r="G39" s="21"/>
      <c r="H39" s="21"/>
      <c r="I39" s="21"/>
      <c r="J39" s="21"/>
      <c r="K39" s="21"/>
    </row>
    <row r="40" spans="2:15" ht="15.6" x14ac:dyDescent="0.3">
      <c r="B40" s="61" t="s">
        <v>487</v>
      </c>
      <c r="C40" s="62">
        <f>AVERAGE(C22:N22)</f>
        <v>-2853553.2812098712</v>
      </c>
      <c r="D40" s="21"/>
      <c r="E40" s="21"/>
      <c r="F40" s="21"/>
      <c r="G40" s="21"/>
      <c r="H40" s="21"/>
      <c r="I40" s="21"/>
      <c r="J40" s="21"/>
      <c r="K40" s="21"/>
    </row>
    <row r="41" spans="2:15" ht="15.6" x14ac:dyDescent="0.3">
      <c r="B41" s="61" t="s">
        <v>488</v>
      </c>
      <c r="C41" s="62">
        <f>O11</f>
        <v>14934000</v>
      </c>
      <c r="D41" s="21"/>
      <c r="E41" s="21"/>
      <c r="F41" s="21"/>
      <c r="G41" s="21"/>
      <c r="H41" s="21"/>
      <c r="I41" s="21"/>
      <c r="J41" s="21"/>
      <c r="K41" s="21"/>
    </row>
    <row r="42" spans="2:15" ht="15.6" x14ac:dyDescent="0.3">
      <c r="B42" s="61" t="s">
        <v>489</v>
      </c>
      <c r="C42" s="62">
        <f>O19</f>
        <v>49176639.374518454</v>
      </c>
      <c r="D42" s="21"/>
      <c r="E42" s="21"/>
      <c r="F42" s="21"/>
      <c r="G42" s="21"/>
      <c r="H42" s="21"/>
      <c r="I42" s="21"/>
      <c r="J42" s="21"/>
      <c r="K42" s="21"/>
    </row>
    <row r="43" spans="2:15" ht="15.6" x14ac:dyDescent="0.3">
      <c r="B43" s="61" t="s">
        <v>490</v>
      </c>
      <c r="C43" s="62">
        <f>O22</f>
        <v>-34242639.374518454</v>
      </c>
      <c r="D43" s="21"/>
      <c r="E43" s="21"/>
      <c r="F43" s="21"/>
      <c r="G43" s="21"/>
      <c r="H43" s="21"/>
      <c r="I43" s="21"/>
      <c r="J43" s="21"/>
      <c r="K43" s="21"/>
    </row>
    <row r="44" spans="2:15" ht="16.2" thickBot="1" x14ac:dyDescent="0.35">
      <c r="B44" s="48" t="s">
        <v>491</v>
      </c>
      <c r="C44" s="240">
        <f>F32</f>
        <v>9147655.6524079125</v>
      </c>
      <c r="D44" s="21"/>
      <c r="E44" s="21"/>
      <c r="F44" s="21"/>
      <c r="G44" s="21"/>
      <c r="H44" s="21"/>
      <c r="I44" s="21"/>
      <c r="J44" s="21"/>
      <c r="K44" s="21"/>
    </row>
  </sheetData>
  <mergeCells count="7">
    <mergeCell ref="B26:G26"/>
    <mergeCell ref="B2:P2"/>
    <mergeCell ref="B3:P3"/>
    <mergeCell ref="B5:O5"/>
    <mergeCell ref="B7:O7"/>
    <mergeCell ref="B13:O13"/>
    <mergeCell ref="B21:O21"/>
  </mergeCells>
  <hyperlinks>
    <hyperlink ref="B1" location="'Navigation Tab'!A1" display="Navigation Tab" xr:uid="{F2F67FA3-95E4-4339-A947-0EE1ED934D72}"/>
  </hyperlink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B1:H35"/>
  <sheetViews>
    <sheetView showGridLines="0" topLeftCell="A31" zoomScale="98" zoomScaleNormal="115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46.44140625" bestFit="1" customWidth="1"/>
    <col min="3" max="3" width="14.109375" bestFit="1" customWidth="1"/>
    <col min="4" max="4" width="14.21875" bestFit="1" customWidth="1"/>
    <col min="5" max="7" width="15.77734375" bestFit="1" customWidth="1"/>
    <col min="8" max="8" width="51.6640625" bestFit="1" customWidth="1"/>
  </cols>
  <sheetData>
    <row r="1" spans="2:8" ht="21.6" thickBot="1" x14ac:dyDescent="0.45">
      <c r="B1" s="384" t="s">
        <v>1005</v>
      </c>
    </row>
    <row r="2" spans="2:8" ht="21" x14ac:dyDescent="0.3">
      <c r="B2" s="482" t="s">
        <v>492</v>
      </c>
      <c r="C2" s="483"/>
      <c r="D2" s="483"/>
      <c r="E2" s="483"/>
      <c r="F2" s="483"/>
      <c r="G2" s="483"/>
      <c r="H2" s="484"/>
    </row>
    <row r="3" spans="2:8" ht="18.600000000000001" thickBot="1" x14ac:dyDescent="0.35">
      <c r="B3" s="475" t="s">
        <v>493</v>
      </c>
      <c r="C3" s="476"/>
      <c r="D3" s="476"/>
      <c r="E3" s="476"/>
      <c r="F3" s="476"/>
      <c r="G3" s="476"/>
      <c r="H3" s="477"/>
    </row>
    <row r="4" spans="2:8" ht="15" thickBot="1" x14ac:dyDescent="0.35"/>
    <row r="5" spans="2:8" ht="17.399999999999999" x14ac:dyDescent="0.3">
      <c r="B5" s="516" t="s">
        <v>494</v>
      </c>
      <c r="C5" s="517"/>
      <c r="D5" s="517"/>
      <c r="E5" s="517"/>
      <c r="F5" s="517"/>
      <c r="G5" s="517"/>
      <c r="H5" s="518"/>
    </row>
    <row r="6" spans="2:8" ht="15.6" x14ac:dyDescent="0.3">
      <c r="B6" s="25" t="s">
        <v>495</v>
      </c>
      <c r="C6" s="9" t="s">
        <v>341</v>
      </c>
      <c r="D6" s="9" t="s">
        <v>342</v>
      </c>
      <c r="E6" s="9" t="s">
        <v>343</v>
      </c>
      <c r="F6" s="9" t="s">
        <v>344</v>
      </c>
      <c r="G6" s="9" t="s">
        <v>345</v>
      </c>
      <c r="H6" s="26" t="s">
        <v>8</v>
      </c>
    </row>
    <row r="7" spans="2:8" ht="15.6" x14ac:dyDescent="0.3">
      <c r="B7" s="519" t="s">
        <v>496</v>
      </c>
      <c r="C7" s="520"/>
      <c r="D7" s="520"/>
      <c r="E7" s="520"/>
      <c r="F7" s="520"/>
      <c r="G7" s="520"/>
      <c r="H7" s="521"/>
    </row>
    <row r="8" spans="2:8" ht="15" x14ac:dyDescent="0.3">
      <c r="B8" s="61" t="s">
        <v>497</v>
      </c>
      <c r="C8" s="110">
        <f>'P&amp;L'!C10/12</f>
        <v>886350</v>
      </c>
      <c r="D8" s="110">
        <f>'P&amp;L'!D10/12</f>
        <v>930667.5</v>
      </c>
      <c r="E8" s="110">
        <f>'P&amp;L'!E10/12</f>
        <v>977200.875</v>
      </c>
      <c r="F8" s="110">
        <f>'P&amp;L'!F10/12</f>
        <v>1026060.9187500001</v>
      </c>
      <c r="G8" s="110">
        <f>'P&amp;L'!G10/12</f>
        <v>1077363.9646874999</v>
      </c>
      <c r="H8" s="105" t="s">
        <v>498</v>
      </c>
    </row>
    <row r="9" spans="2:8" ht="15" x14ac:dyDescent="0.3">
      <c r="B9" s="61" t="s">
        <v>499</v>
      </c>
      <c r="C9" s="110">
        <f>'P&amp;L'!C10/12*Input!C25</f>
        <v>1772700</v>
      </c>
      <c r="D9" s="110">
        <f>'P&amp;L'!D10/12*Input!C25</f>
        <v>1861335</v>
      </c>
      <c r="E9" s="110">
        <f>'P&amp;L'!E10/12*Input!C25</f>
        <v>1954401.75</v>
      </c>
      <c r="F9" s="110">
        <f>'P&amp;L'!F10/12*Input!C25</f>
        <v>2052121.8375000001</v>
      </c>
      <c r="G9" s="110">
        <f>'P&amp;L'!G10/12*Input!C25</f>
        <v>2154727.9293749998</v>
      </c>
      <c r="H9" s="105" t="s">
        <v>500</v>
      </c>
    </row>
    <row r="10" spans="2:8" ht="15" x14ac:dyDescent="0.3">
      <c r="B10" s="61" t="s">
        <v>501</v>
      </c>
      <c r="C10" s="110">
        <f>'Cash Budget'!N24</f>
        <v>19127360.625481587</v>
      </c>
      <c r="D10" s="110">
        <f>'Cash Budget'!C32</f>
        <v>16166921.250963168</v>
      </c>
      <c r="E10" s="110">
        <f>'Cash Budget'!D32</f>
        <v>13506691.87644475</v>
      </c>
      <c r="F10" s="110">
        <f>'Cash Budget'!E32</f>
        <v>11161683.001926331</v>
      </c>
      <c r="G10" s="110">
        <f>'Cash Budget'!F32</f>
        <v>9147655.6524079125</v>
      </c>
      <c r="H10" s="105" t="s">
        <v>502</v>
      </c>
    </row>
    <row r="11" spans="2:8" ht="15" x14ac:dyDescent="0.3">
      <c r="B11" s="61" t="s">
        <v>503</v>
      </c>
      <c r="C11" s="92">
        <f>'Cost sheet'!C34</f>
        <v>1061053.2812098684</v>
      </c>
      <c r="D11" s="92">
        <f>C11*(1+Input!C19)</f>
        <v>1114105.9452703618</v>
      </c>
      <c r="E11" s="92">
        <f>D11*(1+Input!C19)</f>
        <v>1169811.2425338801</v>
      </c>
      <c r="F11" s="92">
        <f>E11*(1+Input!C19)</f>
        <v>1228301.8046605741</v>
      </c>
      <c r="G11" s="92">
        <f>F11*(1+Input!C19)</f>
        <v>1289716.8948936029</v>
      </c>
      <c r="H11" s="105" t="s">
        <v>504</v>
      </c>
    </row>
    <row r="12" spans="2:8" ht="16.2" thickBot="1" x14ac:dyDescent="0.35">
      <c r="B12" s="224" t="s">
        <v>505</v>
      </c>
      <c r="C12" s="225">
        <f>SUM(C8:C11)</f>
        <v>22847463.906691454</v>
      </c>
      <c r="D12" s="225">
        <f>SUM(D8:D11)</f>
        <v>20073029.69623353</v>
      </c>
      <c r="E12" s="225">
        <f>SUM(E8:E11)</f>
        <v>17608105.743978631</v>
      </c>
      <c r="F12" s="225">
        <f>SUM(F8:F11)</f>
        <v>15468167.562836904</v>
      </c>
      <c r="G12" s="225">
        <f>SUM(G8:G11)</f>
        <v>13669464.441364015</v>
      </c>
      <c r="H12" s="245" t="s">
        <v>506</v>
      </c>
    </row>
    <row r="13" spans="2:8" ht="16.2" thickBot="1" x14ac:dyDescent="0.35">
      <c r="B13" s="208"/>
      <c r="C13" s="208"/>
      <c r="D13" s="208"/>
      <c r="E13" s="208"/>
      <c r="F13" s="208"/>
      <c r="G13" s="208"/>
      <c r="H13" s="208"/>
    </row>
    <row r="14" spans="2:8" ht="15.6" x14ac:dyDescent="0.3">
      <c r="B14" s="532" t="s">
        <v>507</v>
      </c>
      <c r="C14" s="533"/>
      <c r="D14" s="533"/>
      <c r="E14" s="533"/>
      <c r="F14" s="533"/>
      <c r="G14" s="533"/>
      <c r="H14" s="534"/>
    </row>
    <row r="15" spans="2:8" ht="15" x14ac:dyDescent="0.3">
      <c r="B15" s="61" t="s">
        <v>508</v>
      </c>
      <c r="C15" s="228">
        <f>'Cost sheet'!C34+'Cost sheet'!C51</f>
        <v>1133053.2812098684</v>
      </c>
      <c r="D15" s="228">
        <f>('P&amp;L'!D13+'P&amp;L'!D24)/12</f>
        <v>1152353.2812098681</v>
      </c>
      <c r="E15" s="228">
        <f>('P&amp;L'!E13+'P&amp;L'!E24)/12</f>
        <v>1172618.2812098681</v>
      </c>
      <c r="F15" s="228">
        <f>('P&amp;L'!F13+'P&amp;L'!F24)/12</f>
        <v>1193896.5312098681</v>
      </c>
      <c r="G15" s="228">
        <f>('P&amp;L'!G13+'P&amp;L'!G24)/12</f>
        <v>1216238.6937098682</v>
      </c>
      <c r="H15" s="105" t="s">
        <v>509</v>
      </c>
    </row>
    <row r="16" spans="2:8" ht="15" x14ac:dyDescent="0.3">
      <c r="B16" s="61" t="s">
        <v>510</v>
      </c>
      <c r="C16" s="228">
        <f>C9</f>
        <v>1772700</v>
      </c>
      <c r="D16" s="228">
        <f>D9</f>
        <v>1861335</v>
      </c>
      <c r="E16" s="228">
        <f>E9</f>
        <v>1954401.75</v>
      </c>
      <c r="F16" s="228">
        <f>F9</f>
        <v>2052121.8375000001</v>
      </c>
      <c r="G16" s="228">
        <f>G9</f>
        <v>2154727.9293749998</v>
      </c>
      <c r="H16" s="105" t="s">
        <v>511</v>
      </c>
    </row>
    <row r="17" spans="2:8" ht="15" x14ac:dyDescent="0.3">
      <c r="B17" s="61" t="s">
        <v>512</v>
      </c>
      <c r="C17" s="228">
        <f>('Cost sheet'!C21+'Cost sheet'!C22+'Cost sheet'!C23+'Cost sheet'!C24+'Cost sheet'!C25+'Cost sheet'!C26)</f>
        <v>199000</v>
      </c>
      <c r="D17" s="228">
        <f>C17*(1+Input!C19)</f>
        <v>208950</v>
      </c>
      <c r="E17" s="228">
        <f>D17*(1+Input!C19)</f>
        <v>219397.5</v>
      </c>
      <c r="F17" s="228">
        <f>E17*(1+Input!C19)</f>
        <v>230367.375</v>
      </c>
      <c r="G17" s="228">
        <f>F17*(1+Input!C19)</f>
        <v>241885.74375000002</v>
      </c>
      <c r="H17" s="105" t="s">
        <v>513</v>
      </c>
    </row>
    <row r="18" spans="2:8" ht="15" x14ac:dyDescent="0.3">
      <c r="B18" s="61" t="s">
        <v>514</v>
      </c>
      <c r="C18" s="228">
        <f>'Cost sheet'!C82</f>
        <v>3627639.3745184187</v>
      </c>
      <c r="D18" s="228">
        <f>'Cost sheet'!C82*(1+0.02)</f>
        <v>3700192.162008787</v>
      </c>
      <c r="E18" s="228">
        <f>'Cost sheet'!C82*(1+0.04)</f>
        <v>3772744.9494991554</v>
      </c>
      <c r="F18" s="228">
        <f>'Cost sheet'!C82*(1+0.06)</f>
        <v>3845297.7369895242</v>
      </c>
      <c r="G18" s="228">
        <f>'Cost sheet'!C82*(1+0.08)</f>
        <v>3917850.5244798926</v>
      </c>
      <c r="H18" s="105" t="s">
        <v>515</v>
      </c>
    </row>
    <row r="19" spans="2:8" ht="16.2" thickBot="1" x14ac:dyDescent="0.35">
      <c r="B19" s="231" t="s">
        <v>516</v>
      </c>
      <c r="C19" s="232">
        <f>SUM(C15:C18)</f>
        <v>6732392.6557282871</v>
      </c>
      <c r="D19" s="232">
        <f>SUM(D15:D18)</f>
        <v>6922830.4432186559</v>
      </c>
      <c r="E19" s="232">
        <f>SUM(E15:E18)</f>
        <v>7119162.4807090238</v>
      </c>
      <c r="F19" s="232">
        <f>SUM(F15:F18)</f>
        <v>7321683.480699392</v>
      </c>
      <c r="G19" s="232">
        <f>SUM(G15:G18)</f>
        <v>7530702.8913147608</v>
      </c>
      <c r="H19" s="246" t="s">
        <v>517</v>
      </c>
    </row>
    <row r="20" spans="2:8" ht="16.2" thickBot="1" x14ac:dyDescent="0.35">
      <c r="B20" s="208"/>
      <c r="C20" s="208"/>
      <c r="D20" s="208"/>
      <c r="E20" s="208"/>
      <c r="F20" s="208"/>
      <c r="G20" s="208"/>
      <c r="H20" s="208"/>
    </row>
    <row r="21" spans="2:8" ht="15.6" x14ac:dyDescent="0.3">
      <c r="B21" s="532" t="s">
        <v>518</v>
      </c>
      <c r="C21" s="533"/>
      <c r="D21" s="533"/>
      <c r="E21" s="533"/>
      <c r="F21" s="533"/>
      <c r="G21" s="533"/>
      <c r="H21" s="534"/>
    </row>
    <row r="22" spans="2:8" ht="15.6" x14ac:dyDescent="0.3">
      <c r="B22" s="203" t="s">
        <v>519</v>
      </c>
      <c r="C22" s="190">
        <f>C12-C19</f>
        <v>16115071.250963166</v>
      </c>
      <c r="D22" s="190">
        <f>D12-D19</f>
        <v>13150199.253014874</v>
      </c>
      <c r="E22" s="190">
        <f>E12-E19</f>
        <v>10488943.263269607</v>
      </c>
      <c r="F22" s="190">
        <f>F12-F19</f>
        <v>8146484.082137512</v>
      </c>
      <c r="G22" s="190">
        <f>G12-G19</f>
        <v>6138761.5500492537</v>
      </c>
      <c r="H22" s="249" t="s">
        <v>520</v>
      </c>
    </row>
    <row r="23" spans="2:8" ht="15" x14ac:dyDescent="0.3">
      <c r="B23" s="61" t="s">
        <v>521</v>
      </c>
      <c r="C23" s="242">
        <f>IFERROR(C12/C19,0)</f>
        <v>3.3936618190639232</v>
      </c>
      <c r="D23" s="242">
        <f>IFERROR(D12/D19,0)</f>
        <v>2.899540854116442</v>
      </c>
      <c r="E23" s="242">
        <f>IFERROR(E12/E19,0)</f>
        <v>2.4733394962808846</v>
      </c>
      <c r="F23" s="242">
        <f>IFERROR(F12/F19,0)</f>
        <v>2.1126517697210438</v>
      </c>
      <c r="G23" s="242">
        <f>IFERROR(G12/G19,0)</f>
        <v>1.8151644857917781</v>
      </c>
      <c r="H23" s="105" t="s">
        <v>522</v>
      </c>
    </row>
    <row r="24" spans="2:8" ht="15" x14ac:dyDescent="0.3">
      <c r="B24" s="61" t="s">
        <v>523</v>
      </c>
      <c r="C24" s="242">
        <f>IFERROR((C12-C11)/C19,0)</f>
        <v>3.2360576305579145</v>
      </c>
      <c r="D24" s="242">
        <f>IFERROR((D12-D11)/D19,0)</f>
        <v>2.7386087101894305</v>
      </c>
      <c r="E24" s="242">
        <f>IFERROR((E12-E11)/E19,0)</f>
        <v>2.3090208358058995</v>
      </c>
      <c r="F24" s="242">
        <f>IFERROR((F12-F11)/F19,0)</f>
        <v>1.9448895593088504</v>
      </c>
      <c r="G24" s="242">
        <f>IFERROR((G12-G11)/G19,0)</f>
        <v>1.6439033281671629</v>
      </c>
      <c r="H24" s="105" t="s">
        <v>524</v>
      </c>
    </row>
    <row r="25" spans="2:8" ht="15" x14ac:dyDescent="0.3">
      <c r="B25" s="61" t="s">
        <v>525</v>
      </c>
      <c r="C25" s="243">
        <f>IFERROR(C10/'Cost sheet'!C34,0)</f>
        <v>18.026767330356467</v>
      </c>
      <c r="D25" s="243">
        <f>IFERROR(D10/('P&amp;L'!D24/12),0)</f>
        <v>15.014508460840345</v>
      </c>
      <c r="E25" s="243">
        <f>IFERROR(E10/('P&amp;L'!E24/12),0)</f>
        <v>12.354755691043973</v>
      </c>
      <c r="F25" s="243">
        <f>IFERROR(F10/('P&amp;L'!F24/12),0)</f>
        <v>10.05061259266086</v>
      </c>
      <c r="G25" s="243">
        <f>IFERROR(G10/('P&amp;L'!G24/12),0)</f>
        <v>8.1044346413706947</v>
      </c>
      <c r="H25" s="105" t="s">
        <v>526</v>
      </c>
    </row>
    <row r="26" spans="2:8" ht="15.6" thickBot="1" x14ac:dyDescent="0.35">
      <c r="B26" s="48" t="s">
        <v>527</v>
      </c>
      <c r="C26" s="250">
        <f>IFERROR(C22/('P&amp;L'!C10/365),0)</f>
        <v>553.01714960244783</v>
      </c>
      <c r="D26" s="250">
        <f>IFERROR(D22/('P&amp;L'!D10/365),0)</f>
        <v>429.78316883226546</v>
      </c>
      <c r="E26" s="250">
        <f>IFERROR(E22/('P&amp;L'!E10/365),0)</f>
        <v>326.48219939881915</v>
      </c>
      <c r="F26" s="250">
        <f>IFERROR(F22/('P&amp;L'!F10/365),0)</f>
        <v>241.49530140330438</v>
      </c>
      <c r="G26" s="250">
        <f>IFERROR(G22/('P&amp;L'!G10/365),0)</f>
        <v>173.3125201269919</v>
      </c>
      <c r="H26" s="51" t="s">
        <v>528</v>
      </c>
    </row>
    <row r="27" spans="2:8" ht="15" x14ac:dyDescent="0.3">
      <c r="B27" s="247"/>
      <c r="C27" s="248"/>
      <c r="D27" s="248"/>
      <c r="E27" s="248"/>
      <c r="F27" s="248"/>
      <c r="G27" s="248"/>
      <c r="H27" s="247"/>
    </row>
    <row r="28" spans="2:8" ht="15.6" x14ac:dyDescent="0.3">
      <c r="B28" s="535" t="s">
        <v>529</v>
      </c>
      <c r="C28" s="535"/>
      <c r="D28" s="535"/>
      <c r="E28" s="535"/>
      <c r="F28" s="535"/>
      <c r="G28" s="535"/>
      <c r="H28" s="535"/>
    </row>
    <row r="29" spans="2:8" ht="16.2" thickBot="1" x14ac:dyDescent="0.35">
      <c r="B29" s="251"/>
      <c r="C29" s="251"/>
      <c r="D29" s="251"/>
      <c r="E29" s="251"/>
      <c r="F29" s="251"/>
      <c r="G29" s="251"/>
      <c r="H29" s="251"/>
    </row>
    <row r="30" spans="2:8" ht="15.6" x14ac:dyDescent="0.3">
      <c r="B30" s="532" t="s">
        <v>530</v>
      </c>
      <c r="C30" s="533"/>
      <c r="D30" s="533"/>
      <c r="E30" s="533"/>
      <c r="F30" s="533"/>
      <c r="G30" s="533"/>
      <c r="H30" s="534"/>
    </row>
    <row r="31" spans="2:8" ht="15.6" x14ac:dyDescent="0.3">
      <c r="B31" s="25" t="s">
        <v>320</v>
      </c>
      <c r="C31" s="9" t="s">
        <v>341</v>
      </c>
      <c r="D31" s="9" t="s">
        <v>342</v>
      </c>
      <c r="E31" s="9" t="s">
        <v>343</v>
      </c>
      <c r="F31" s="9" t="s">
        <v>344</v>
      </c>
      <c r="G31" s="9" t="s">
        <v>345</v>
      </c>
      <c r="H31" s="26" t="s">
        <v>8</v>
      </c>
    </row>
    <row r="32" spans="2:8" ht="15" x14ac:dyDescent="0.3">
      <c r="B32" s="61" t="s">
        <v>531</v>
      </c>
      <c r="C32" s="244">
        <f>IFERROR(C8/('P&amp;L'!C10/365),0)</f>
        <v>30.416666666666668</v>
      </c>
      <c r="D32" s="244">
        <f>IFERROR(D8/('P&amp;L'!D10/365),0)</f>
        <v>30.416666666666668</v>
      </c>
      <c r="E32" s="244">
        <f>IFERROR(E8/('P&amp;L'!E10/365),0)</f>
        <v>30.416666666666664</v>
      </c>
      <c r="F32" s="244">
        <f>IFERROR(F8/('P&amp;L'!F10/365),0)</f>
        <v>30.416666666666668</v>
      </c>
      <c r="G32" s="244">
        <f>IFERROR(G8/('P&amp;L'!G10/365),0)</f>
        <v>30.416666666666661</v>
      </c>
      <c r="H32" s="105" t="s">
        <v>532</v>
      </c>
    </row>
    <row r="33" spans="2:8" ht="15" x14ac:dyDescent="0.3">
      <c r="B33" s="61" t="s">
        <v>533</v>
      </c>
      <c r="C33" s="244">
        <f>IFERROR(C15/('P&amp;L'!C13+'P&amp;L'!C24)*365,0)</f>
        <v>30.416666666666671</v>
      </c>
      <c r="D33" s="244">
        <f>IFERROR(D15/('P&amp;L'!D13+'P&amp;L'!D24)*365,0)</f>
        <v>30.416666666666664</v>
      </c>
      <c r="E33" s="244">
        <f>IFERROR(E15/('P&amp;L'!E13+'P&amp;L'!E24)*365,0)</f>
        <v>30.416666666666664</v>
      </c>
      <c r="F33" s="244">
        <f>IFERROR(F15/('P&amp;L'!F13+'P&amp;L'!F24)*365,0)</f>
        <v>30.416666666666664</v>
      </c>
      <c r="G33" s="244">
        <f>IFERROR(G15/('P&amp;L'!G13+'P&amp;L'!G24)*365,0)</f>
        <v>30.416666666666664</v>
      </c>
      <c r="H33" s="105" t="s">
        <v>532</v>
      </c>
    </row>
    <row r="34" spans="2:8" ht="15" x14ac:dyDescent="0.3">
      <c r="B34" s="61" t="s">
        <v>534</v>
      </c>
      <c r="C34" s="244">
        <f>Input!C25</f>
        <v>2</v>
      </c>
      <c r="D34" s="244">
        <f>Input!C25</f>
        <v>2</v>
      </c>
      <c r="E34" s="244">
        <f>Input!C25</f>
        <v>2</v>
      </c>
      <c r="F34" s="244">
        <f>Input!C25</f>
        <v>2</v>
      </c>
      <c r="G34" s="244">
        <f>Input!C25</f>
        <v>2</v>
      </c>
      <c r="H34" s="105" t="s">
        <v>535</v>
      </c>
    </row>
    <row r="35" spans="2:8" ht="15.6" thickBot="1" x14ac:dyDescent="0.35">
      <c r="B35" s="48" t="s">
        <v>536</v>
      </c>
      <c r="C35" s="250">
        <f>30</f>
        <v>30</v>
      </c>
      <c r="D35" s="250">
        <f>30</f>
        <v>30</v>
      </c>
      <c r="E35" s="250">
        <f>30</f>
        <v>30</v>
      </c>
      <c r="F35" s="250">
        <f>30</f>
        <v>30</v>
      </c>
      <c r="G35" s="250">
        <f>30</f>
        <v>30</v>
      </c>
      <c r="H35" s="51" t="s">
        <v>537</v>
      </c>
    </row>
  </sheetData>
  <mergeCells count="8">
    <mergeCell ref="B21:H21"/>
    <mergeCell ref="B28:H28"/>
    <mergeCell ref="B30:H30"/>
    <mergeCell ref="B2:H2"/>
    <mergeCell ref="B3:H3"/>
    <mergeCell ref="B5:H5"/>
    <mergeCell ref="B7:H7"/>
    <mergeCell ref="B14:H14"/>
  </mergeCells>
  <hyperlinks>
    <hyperlink ref="B1" location="'Navigation Tab'!A1" display="Navigation Tab" xr:uid="{88D559EB-A2FD-4BAF-9EB9-E21268FC4A12}"/>
  </hyperlink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B1:G53"/>
  <sheetViews>
    <sheetView showGridLines="0" topLeftCell="A38" zoomScale="98" zoomScaleNormal="115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65.5546875" bestFit="1" customWidth="1"/>
    <col min="3" max="3" width="16.44140625" bestFit="1" customWidth="1"/>
    <col min="4" max="4" width="15.77734375" bestFit="1" customWidth="1"/>
    <col min="5" max="5" width="41.77734375" bestFit="1" customWidth="1"/>
    <col min="6" max="6" width="13.5546875" bestFit="1" customWidth="1"/>
    <col min="7" max="7" width="22" customWidth="1"/>
  </cols>
  <sheetData>
    <row r="1" spans="2:7" ht="21.6" thickBot="1" x14ac:dyDescent="0.45">
      <c r="B1" s="384" t="s">
        <v>1005</v>
      </c>
    </row>
    <row r="2" spans="2:7" ht="21" x14ac:dyDescent="0.3">
      <c r="B2" s="482" t="s">
        <v>538</v>
      </c>
      <c r="C2" s="483"/>
      <c r="D2" s="483"/>
      <c r="E2" s="483"/>
      <c r="F2" s="483"/>
      <c r="G2" s="484"/>
    </row>
    <row r="3" spans="2:7" ht="16.2" thickBot="1" x14ac:dyDescent="0.35">
      <c r="B3" s="536" t="s">
        <v>960</v>
      </c>
      <c r="C3" s="537"/>
      <c r="D3" s="537"/>
      <c r="E3" s="537"/>
      <c r="F3" s="537"/>
      <c r="G3" s="538"/>
    </row>
    <row r="4" spans="2:7" ht="15" thickBot="1" x14ac:dyDescent="0.35"/>
    <row r="5" spans="2:7" ht="17.399999999999999" x14ac:dyDescent="0.3">
      <c r="B5" s="488" t="s">
        <v>539</v>
      </c>
      <c r="C5" s="489"/>
      <c r="D5" s="489"/>
      <c r="E5" s="489"/>
    </row>
    <row r="6" spans="2:7" ht="31.2" x14ac:dyDescent="0.3">
      <c r="B6" s="25" t="s">
        <v>5</v>
      </c>
      <c r="C6" s="9" t="s">
        <v>540</v>
      </c>
      <c r="D6" s="9" t="s">
        <v>7</v>
      </c>
      <c r="E6" s="26" t="s">
        <v>961</v>
      </c>
    </row>
    <row r="7" spans="2:7" ht="15" x14ac:dyDescent="0.3">
      <c r="B7" s="61" t="s">
        <v>541</v>
      </c>
      <c r="C7" s="252">
        <f>Input!C10</f>
        <v>100</v>
      </c>
      <c r="D7" s="181" t="s">
        <v>10</v>
      </c>
      <c r="E7" s="105" t="s">
        <v>310</v>
      </c>
    </row>
    <row r="8" spans="2:7" ht="15" x14ac:dyDescent="0.3">
      <c r="B8" s="61" t="s">
        <v>542</v>
      </c>
      <c r="C8" s="253">
        <f>Input!C13</f>
        <v>0.8</v>
      </c>
      <c r="D8" s="181" t="s">
        <v>18</v>
      </c>
      <c r="E8" s="105" t="s">
        <v>313</v>
      </c>
    </row>
    <row r="9" spans="2:7" ht="15" x14ac:dyDescent="0.3">
      <c r="B9" s="61" t="s">
        <v>543</v>
      </c>
      <c r="C9" s="252">
        <f>Input!C10*Input!C13</f>
        <v>80</v>
      </c>
      <c r="D9" s="181" t="s">
        <v>10</v>
      </c>
      <c r="E9" s="105" t="s">
        <v>544</v>
      </c>
    </row>
    <row r="10" spans="2:7" ht="15" x14ac:dyDescent="0.3">
      <c r="B10" s="61" t="s">
        <v>545</v>
      </c>
      <c r="C10" s="252">
        <f>Input!C12</f>
        <v>5000</v>
      </c>
      <c r="D10" s="181" t="s">
        <v>13</v>
      </c>
      <c r="E10" s="105" t="s">
        <v>311</v>
      </c>
    </row>
    <row r="11" spans="2:7" ht="15" x14ac:dyDescent="0.3">
      <c r="B11" s="61" t="s">
        <v>12</v>
      </c>
      <c r="C11" s="252">
        <f>Input!C12/Input!C10</f>
        <v>50</v>
      </c>
      <c r="D11" s="181" t="s">
        <v>13</v>
      </c>
      <c r="E11" s="105" t="s">
        <v>546</v>
      </c>
    </row>
    <row r="12" spans="2:7" ht="15" x14ac:dyDescent="0.3">
      <c r="B12" s="61" t="s">
        <v>547</v>
      </c>
      <c r="C12" s="110">
        <f>Input!C14</f>
        <v>7500</v>
      </c>
      <c r="D12" s="181" t="s">
        <v>317</v>
      </c>
      <c r="E12" s="105" t="s">
        <v>548</v>
      </c>
    </row>
    <row r="13" spans="2:7" ht="15" x14ac:dyDescent="0.3">
      <c r="B13" s="61" t="s">
        <v>549</v>
      </c>
      <c r="C13" s="11">
        <v>365</v>
      </c>
      <c r="D13" s="181" t="s">
        <v>550</v>
      </c>
      <c r="E13" s="105" t="s">
        <v>551</v>
      </c>
    </row>
    <row r="14" spans="2:7" ht="15.6" thickBot="1" x14ac:dyDescent="0.35">
      <c r="B14" s="48" t="s">
        <v>552</v>
      </c>
      <c r="C14" s="34">
        <v>10</v>
      </c>
      <c r="D14" s="213" t="s">
        <v>553</v>
      </c>
      <c r="E14" s="51" t="s">
        <v>554</v>
      </c>
    </row>
    <row r="15" spans="2:7" ht="16.2" thickBot="1" x14ac:dyDescent="0.35">
      <c r="B15" s="208"/>
      <c r="C15" s="208"/>
      <c r="D15" s="208"/>
      <c r="E15" s="208"/>
      <c r="F15" s="255"/>
      <c r="G15" s="184"/>
    </row>
    <row r="16" spans="2:7" ht="17.399999999999999" x14ac:dyDescent="0.3">
      <c r="B16" s="488" t="s">
        <v>555</v>
      </c>
      <c r="C16" s="489"/>
      <c r="D16" s="489"/>
      <c r="E16" s="489"/>
      <c r="F16" s="490"/>
    </row>
    <row r="17" spans="2:7" ht="31.2" x14ac:dyDescent="0.3">
      <c r="B17" s="25" t="s">
        <v>556</v>
      </c>
      <c r="C17" s="9" t="s">
        <v>557</v>
      </c>
      <c r="D17" s="9" t="s">
        <v>558</v>
      </c>
      <c r="E17" s="9" t="s">
        <v>559</v>
      </c>
      <c r="F17" s="26" t="s">
        <v>560</v>
      </c>
    </row>
    <row r="18" spans="2:7" ht="15" x14ac:dyDescent="0.3">
      <c r="B18" s="265" t="s">
        <v>949</v>
      </c>
      <c r="C18" s="110">
        <f>'Cost sheet'!C20</f>
        <v>747053.28120986826</v>
      </c>
      <c r="D18" s="92">
        <f>IFERROR(C18/Input!C10,0)</f>
        <v>7470.5328120986824</v>
      </c>
      <c r="E18" s="92">
        <f>IFERROR(C18/(Input!C10*Input!C13),0)</f>
        <v>9338.1660151233536</v>
      </c>
      <c r="F18" s="256">
        <f>IFERROR(C18/'Cost sheet'!C34,0)</f>
        <v>0.70406764150245038</v>
      </c>
    </row>
    <row r="19" spans="2:7" ht="15" x14ac:dyDescent="0.3">
      <c r="B19" s="265" t="s">
        <v>950</v>
      </c>
      <c r="C19" s="110">
        <f>'Cost sheet'!C21+'Cost sheet'!C22+'Cost sheet'!C23+'Cost sheet'!C24+'Cost sheet'!C25+'Cost sheet'!C26</f>
        <v>199000</v>
      </c>
      <c r="D19" s="92">
        <f>IFERROR(C19/Input!C10,0)</f>
        <v>1990</v>
      </c>
      <c r="E19" s="92">
        <f>IFERROR(C19/(Input!C10*Input!C13),0)</f>
        <v>2487.5</v>
      </c>
      <c r="F19" s="256">
        <f>IFERROR(C19/'Cost sheet'!C34,0)</f>
        <v>0.18754948834717311</v>
      </c>
    </row>
    <row r="20" spans="2:7" ht="15" x14ac:dyDescent="0.3">
      <c r="B20" s="265" t="s">
        <v>951</v>
      </c>
      <c r="C20" s="110">
        <f>'Cost sheet'!C27</f>
        <v>18000</v>
      </c>
      <c r="D20" s="92">
        <f>IFERROR(C20/Input!C10,0)</f>
        <v>180</v>
      </c>
      <c r="E20" s="92">
        <f>IFERROR(C20/(Input!C10*Input!C13),0)</f>
        <v>225</v>
      </c>
      <c r="F20" s="256">
        <f>IFERROR(C20/'Cost sheet'!C34,0)</f>
        <v>1.6964275327885005E-2</v>
      </c>
    </row>
    <row r="21" spans="2:7" ht="15" x14ac:dyDescent="0.3">
      <c r="B21" s="265" t="s">
        <v>952</v>
      </c>
      <c r="C21" s="110">
        <f>'Cost sheet'!C28</f>
        <v>45000</v>
      </c>
      <c r="D21" s="92">
        <f>IFERROR(C21/Input!C10,0)</f>
        <v>450</v>
      </c>
      <c r="E21" s="92">
        <f>IFERROR(C21/(Input!C10*Input!C13),0)</f>
        <v>562.5</v>
      </c>
      <c r="F21" s="256">
        <f>IFERROR(C21/'Cost sheet'!C34,0)</f>
        <v>4.2410688319712508E-2</v>
      </c>
    </row>
    <row r="22" spans="2:7" ht="15" x14ac:dyDescent="0.3">
      <c r="B22" s="265" t="s">
        <v>953</v>
      </c>
      <c r="C22" s="110">
        <f>'Cost sheet'!C29</f>
        <v>15000</v>
      </c>
      <c r="D22" s="92">
        <f>IFERROR(C22/Input!C10,0)</f>
        <v>150</v>
      </c>
      <c r="E22" s="92">
        <f>IFERROR(C22/(Input!C10*Input!C13),0)</f>
        <v>187.5</v>
      </c>
      <c r="F22" s="256">
        <f>IFERROR(C22/'Cost sheet'!C34,0)</f>
        <v>1.4136896106570837E-2</v>
      </c>
    </row>
    <row r="23" spans="2:7" ht="15" x14ac:dyDescent="0.3">
      <c r="B23" s="265" t="s">
        <v>954</v>
      </c>
      <c r="C23" s="110">
        <f>'Cost sheet'!C30</f>
        <v>20000</v>
      </c>
      <c r="D23" s="92">
        <f>IFERROR(C23/Input!C10,0)</f>
        <v>200</v>
      </c>
      <c r="E23" s="92">
        <f>IFERROR(C23/(Input!C10*Input!C13),0)</f>
        <v>250</v>
      </c>
      <c r="F23" s="256">
        <f>IFERROR(C23/'Cost sheet'!C34,0)</f>
        <v>1.8849194808761117E-2</v>
      </c>
    </row>
    <row r="24" spans="2:7" ht="15" x14ac:dyDescent="0.3">
      <c r="B24" s="265" t="s">
        <v>955</v>
      </c>
      <c r="C24" s="110">
        <f>'Cost sheet'!C31+'Cost sheet'!C32+'Cost sheet'!C33</f>
        <v>17000</v>
      </c>
      <c r="D24" s="92">
        <f>IFERROR(C24/Input!C10,0)</f>
        <v>170</v>
      </c>
      <c r="E24" s="92">
        <f>IFERROR(C24/(Input!C10*Input!C13),0)</f>
        <v>212.5</v>
      </c>
      <c r="F24" s="256">
        <f>IFERROR(C24/'Cost sheet'!C34,0)</f>
        <v>1.602181558744695E-2</v>
      </c>
    </row>
    <row r="25" spans="2:7" ht="16.2" thickBot="1" x14ac:dyDescent="0.35">
      <c r="B25" s="257" t="s">
        <v>561</v>
      </c>
      <c r="C25" s="172">
        <f>'Cost sheet'!C34</f>
        <v>1061053.2812098684</v>
      </c>
      <c r="D25" s="172">
        <f>IFERROR('Cost sheet'!C34/Input!C10,0)</f>
        <v>10610.532812098683</v>
      </c>
      <c r="E25" s="172">
        <f>IFERROR('Cost sheet'!C34/(Input!C10*Input!C13),0)</f>
        <v>13263.166015123355</v>
      </c>
      <c r="F25" s="258">
        <f>100%</f>
        <v>1</v>
      </c>
    </row>
    <row r="26" spans="2:7" ht="16.2" thickBot="1" x14ac:dyDescent="0.35">
      <c r="B26" s="208"/>
      <c r="C26" s="208"/>
      <c r="D26" s="208"/>
      <c r="E26" s="208"/>
      <c r="F26" s="193"/>
      <c r="G26" s="184"/>
    </row>
    <row r="27" spans="2:7" ht="17.399999999999999" x14ac:dyDescent="0.3">
      <c r="B27" s="488" t="s">
        <v>562</v>
      </c>
      <c r="C27" s="489"/>
      <c r="D27" s="490"/>
    </row>
    <row r="28" spans="2:7" ht="31.2" x14ac:dyDescent="0.3">
      <c r="B28" s="25" t="s">
        <v>563</v>
      </c>
      <c r="C28" s="9" t="s">
        <v>564</v>
      </c>
      <c r="D28" s="26" t="s">
        <v>565</v>
      </c>
    </row>
    <row r="29" spans="2:7" ht="15" x14ac:dyDescent="0.3">
      <c r="B29" s="61" t="s">
        <v>957</v>
      </c>
      <c r="C29" s="110">
        <f>Assumptions!E43</f>
        <v>350</v>
      </c>
      <c r="D29" s="267">
        <f>C29*12</f>
        <v>4200</v>
      </c>
    </row>
    <row r="30" spans="2:7" ht="15" x14ac:dyDescent="0.3">
      <c r="B30" s="61" t="s">
        <v>229</v>
      </c>
      <c r="C30" s="110">
        <f>Assumptions!E44</f>
        <v>200</v>
      </c>
      <c r="D30" s="267">
        <f>C30*12</f>
        <v>2400</v>
      </c>
    </row>
    <row r="31" spans="2:7" ht="15" x14ac:dyDescent="0.3">
      <c r="B31" s="61" t="s">
        <v>956</v>
      </c>
      <c r="C31" s="110">
        <f>Assumptions!E45</f>
        <v>150</v>
      </c>
      <c r="D31" s="267">
        <f>C31*12</f>
        <v>1800</v>
      </c>
    </row>
    <row r="32" spans="2:7" ht="15" x14ac:dyDescent="0.3">
      <c r="B32" s="61" t="s">
        <v>958</v>
      </c>
      <c r="C32" s="110">
        <f>Assumptions!E46</f>
        <v>120</v>
      </c>
      <c r="D32" s="267">
        <f>C32*12</f>
        <v>1440</v>
      </c>
    </row>
    <row r="33" spans="2:5" ht="15" x14ac:dyDescent="0.3">
      <c r="B33" s="61" t="s">
        <v>959</v>
      </c>
      <c r="C33" s="110">
        <f>Assumptions!E47</f>
        <v>80</v>
      </c>
      <c r="D33" s="267">
        <f>C33*12</f>
        <v>960</v>
      </c>
    </row>
    <row r="34" spans="2:5" ht="16.2" thickBot="1" x14ac:dyDescent="0.35">
      <c r="B34" s="257" t="s">
        <v>566</v>
      </c>
      <c r="C34" s="172">
        <f>'Cost sheet'!C43</f>
        <v>900</v>
      </c>
      <c r="D34" s="268">
        <f>'Cost sheet'!C43*12</f>
        <v>10800</v>
      </c>
    </row>
    <row r="35" spans="2:5" ht="16.2" thickBot="1" x14ac:dyDescent="0.35">
      <c r="B35" s="208"/>
      <c r="C35" s="208"/>
      <c r="D35" s="208"/>
      <c r="E35" s="208"/>
    </row>
    <row r="36" spans="2:5" ht="17.399999999999999" x14ac:dyDescent="0.3">
      <c r="B36" s="488" t="s">
        <v>567</v>
      </c>
      <c r="C36" s="489"/>
      <c r="D36" s="489"/>
      <c r="E36" s="490"/>
    </row>
    <row r="37" spans="2:5" ht="31.2" x14ac:dyDescent="0.3">
      <c r="B37" s="25" t="s">
        <v>568</v>
      </c>
      <c r="C37" s="9" t="s">
        <v>569</v>
      </c>
      <c r="D37" s="9" t="s">
        <v>570</v>
      </c>
      <c r="E37" s="26" t="s">
        <v>571</v>
      </c>
    </row>
    <row r="38" spans="2:5" ht="15" x14ac:dyDescent="0.3">
      <c r="B38" s="61" t="s">
        <v>572</v>
      </c>
      <c r="C38" s="12">
        <f>'Cost sheet'!C43</f>
        <v>900</v>
      </c>
      <c r="D38" s="12">
        <f>'Cost sheet'!C43*12</f>
        <v>10800</v>
      </c>
      <c r="E38" s="256">
        <f>IFERROR(C38/(C38+C39+C40+C41),0)</f>
        <v>4.2031238661040714E-2</v>
      </c>
    </row>
    <row r="39" spans="2:5" ht="15" x14ac:dyDescent="0.3">
      <c r="B39" s="61" t="s">
        <v>573</v>
      </c>
      <c r="C39" s="12">
        <f>IFERROR('Cost sheet'!C34/(Input!C10*Input!C13),0)</f>
        <v>13263.166015123355</v>
      </c>
      <c r="D39" s="12">
        <f>IFERROR('Cost sheet'!C34/(Input!C10*Input!C13)*12,0)</f>
        <v>159157.99218148028</v>
      </c>
      <c r="E39" s="256">
        <f>IFERROR(C39/(C38+C39+C40+C41),0)</f>
        <v>0.61940810686961567</v>
      </c>
    </row>
    <row r="40" spans="2:5" ht="15" x14ac:dyDescent="0.3">
      <c r="B40" s="61" t="s">
        <v>574</v>
      </c>
      <c r="C40" s="12">
        <f>IFERROR('Cost sheet'!C63/(Input!C10*Input!C13),0)</f>
        <v>1690.1041666666667</v>
      </c>
      <c r="D40" s="12">
        <f>IFERROR('Cost sheet'!C63/(Input!C10*Input!C13)*12,0)</f>
        <v>20281.25</v>
      </c>
      <c r="E40" s="256">
        <f>IFERROR(C40/(C38+C39+C40+C41),0)</f>
        <v>7.8930190656873331E-2</v>
      </c>
    </row>
    <row r="41" spans="2:5" ht="15" x14ac:dyDescent="0.3">
      <c r="B41" s="61" t="s">
        <v>575</v>
      </c>
      <c r="C41" s="12">
        <f>IFERROR('Cost sheet'!C66/(Input!C10*Input!C13),0)</f>
        <v>5559.375</v>
      </c>
      <c r="D41" s="12">
        <f>IFERROR('Cost sheet'!C66/(Input!C10*Input!C13)*12,0)</f>
        <v>66712.5</v>
      </c>
      <c r="E41" s="256">
        <f>IFERROR(C41/(C38+C39+C40+C41),0)</f>
        <v>0.25963046381247024</v>
      </c>
    </row>
    <row r="42" spans="2:5" ht="16.2" thickBot="1" x14ac:dyDescent="0.35">
      <c r="B42" s="259" t="s">
        <v>576</v>
      </c>
      <c r="C42" s="260">
        <f>SUM(C38:C41)</f>
        <v>21412.645181790023</v>
      </c>
      <c r="D42" s="260">
        <f>SUM(D38:D41)</f>
        <v>256951.74218148028</v>
      </c>
      <c r="E42" s="261">
        <f>100%</f>
        <v>1</v>
      </c>
    </row>
    <row r="43" spans="2:5" ht="16.2" thickBot="1" x14ac:dyDescent="0.35">
      <c r="B43" s="208"/>
      <c r="C43" s="208"/>
      <c r="D43" s="208"/>
      <c r="E43" s="208"/>
    </row>
    <row r="44" spans="2:5" ht="17.399999999999999" x14ac:dyDescent="0.3">
      <c r="B44" s="488" t="s">
        <v>577</v>
      </c>
      <c r="C44" s="489"/>
      <c r="D44" s="489"/>
      <c r="E44" s="490"/>
    </row>
    <row r="45" spans="2:5" ht="15.6" x14ac:dyDescent="0.3">
      <c r="B45" s="25" t="s">
        <v>255</v>
      </c>
      <c r="C45" s="9" t="s">
        <v>174</v>
      </c>
      <c r="D45" s="9" t="s">
        <v>7</v>
      </c>
      <c r="E45" s="26" t="s">
        <v>578</v>
      </c>
    </row>
    <row r="46" spans="2:5" ht="15.6" x14ac:dyDescent="0.3">
      <c r="B46" s="61" t="s">
        <v>579</v>
      </c>
      <c r="C46" s="12">
        <f>Input!C14</f>
        <v>7500</v>
      </c>
      <c r="D46" s="181" t="s">
        <v>317</v>
      </c>
      <c r="E46" s="262" t="s">
        <v>580</v>
      </c>
    </row>
    <row r="47" spans="2:5" ht="15.6" x14ac:dyDescent="0.3">
      <c r="B47" s="61" t="s">
        <v>581</v>
      </c>
      <c r="C47" s="12">
        <f>C42</f>
        <v>21412.645181790023</v>
      </c>
      <c r="D47" s="181" t="s">
        <v>317</v>
      </c>
      <c r="E47" s="262" t="s">
        <v>582</v>
      </c>
    </row>
    <row r="48" spans="2:5" ht="15.6" x14ac:dyDescent="0.3">
      <c r="B48" s="61" t="s">
        <v>355</v>
      </c>
      <c r="C48" s="12">
        <f>Input!C14-'Cost sheet'!C43</f>
        <v>6600</v>
      </c>
      <c r="D48" s="181" t="s">
        <v>317</v>
      </c>
      <c r="E48" s="262" t="s">
        <v>583</v>
      </c>
    </row>
    <row r="49" spans="2:5" ht="15.6" x14ac:dyDescent="0.3">
      <c r="B49" s="61" t="s">
        <v>584</v>
      </c>
      <c r="C49" s="12">
        <f>Input!C14-C42</f>
        <v>-13912.645181790023</v>
      </c>
      <c r="D49" s="181" t="s">
        <v>317</v>
      </c>
      <c r="E49" s="262" t="s">
        <v>585</v>
      </c>
    </row>
    <row r="50" spans="2:5" ht="15.6" x14ac:dyDescent="0.3">
      <c r="B50" s="61" t="s">
        <v>586</v>
      </c>
      <c r="C50" s="254">
        <f>IFERROR(Input!C14/C42,0)</f>
        <v>0.35026032217533931</v>
      </c>
      <c r="D50" s="181" t="s">
        <v>18</v>
      </c>
      <c r="E50" s="262" t="s">
        <v>587</v>
      </c>
    </row>
    <row r="51" spans="2:5" ht="15.6" x14ac:dyDescent="0.3">
      <c r="B51" s="61" t="s">
        <v>588</v>
      </c>
      <c r="C51" s="242">
        <f>IFERROR(Input!C14/'Cost sheet'!C43,0)</f>
        <v>8.3333333333333339</v>
      </c>
      <c r="D51" s="181" t="s">
        <v>589</v>
      </c>
      <c r="E51" s="262" t="s">
        <v>590</v>
      </c>
    </row>
    <row r="52" spans="2:5" ht="15.6" x14ac:dyDescent="0.3">
      <c r="B52" s="61" t="s">
        <v>591</v>
      </c>
      <c r="C52" s="12">
        <f>IFERROR('Cost sheet'!C34/(Input!C10*Input!C13)+'Cost sheet'!C43,0)</f>
        <v>14163.166015123355</v>
      </c>
      <c r="D52" s="181" t="s">
        <v>317</v>
      </c>
      <c r="E52" s="262" t="s">
        <v>592</v>
      </c>
    </row>
    <row r="53" spans="2:5" ht="16.2" thickBot="1" x14ac:dyDescent="0.35">
      <c r="B53" s="48" t="s">
        <v>593</v>
      </c>
      <c r="C53" s="263">
        <f>Input!C14-IFERROR('Cost sheet'!C34/(Input!C10*Input!C13)+'Cost sheet'!C43,0)</f>
        <v>-6663.1660151233555</v>
      </c>
      <c r="D53" s="213" t="s">
        <v>317</v>
      </c>
      <c r="E53" s="264" t="s">
        <v>594</v>
      </c>
    </row>
  </sheetData>
  <mergeCells count="7">
    <mergeCell ref="B44:E44"/>
    <mergeCell ref="B2:G2"/>
    <mergeCell ref="B3:G3"/>
    <mergeCell ref="B16:F16"/>
    <mergeCell ref="B5:E5"/>
    <mergeCell ref="B27:D27"/>
    <mergeCell ref="B36:E36"/>
  </mergeCells>
  <hyperlinks>
    <hyperlink ref="B1" location="'Navigation Tab'!A1" display="Navigation Tab" xr:uid="{6C178CD6-54C4-4A02-9640-4F5DF3AE1841}"/>
  </hyperlink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B1:H41"/>
  <sheetViews>
    <sheetView showGridLines="0" zoomScaleNormal="100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61.44140625" bestFit="1" customWidth="1"/>
    <col min="3" max="3" width="27.77734375" customWidth="1"/>
    <col min="4" max="4" width="21.33203125" customWidth="1"/>
    <col min="5" max="6" width="20.44140625" customWidth="1"/>
    <col min="7" max="7" width="21.88671875" customWidth="1"/>
    <col min="8" max="8" width="22.6640625" customWidth="1"/>
    <col min="9" max="9" width="17.33203125" customWidth="1"/>
  </cols>
  <sheetData>
    <row r="1" spans="2:8" ht="21.6" thickBot="1" x14ac:dyDescent="0.45">
      <c r="B1" s="384" t="s">
        <v>1005</v>
      </c>
    </row>
    <row r="2" spans="2:8" ht="21" x14ac:dyDescent="0.3">
      <c r="B2" s="482" t="s">
        <v>595</v>
      </c>
      <c r="C2" s="483"/>
      <c r="D2" s="483"/>
      <c r="E2" s="483"/>
      <c r="F2" s="483"/>
      <c r="G2" s="483"/>
      <c r="H2" s="484"/>
    </row>
    <row r="3" spans="2:8" ht="16.2" thickBot="1" x14ac:dyDescent="0.35">
      <c r="B3" s="536" t="s">
        <v>596</v>
      </c>
      <c r="C3" s="537"/>
      <c r="D3" s="537"/>
      <c r="E3" s="537"/>
      <c r="F3" s="537"/>
      <c r="G3" s="537"/>
      <c r="H3" s="538"/>
    </row>
    <row r="4" spans="2:8" ht="15" thickBot="1" x14ac:dyDescent="0.35"/>
    <row r="5" spans="2:8" ht="17.399999999999999" x14ac:dyDescent="0.3">
      <c r="B5" s="516" t="s">
        <v>597</v>
      </c>
      <c r="C5" s="517"/>
      <c r="D5" s="517"/>
      <c r="E5" s="517"/>
      <c r="F5" s="517"/>
      <c r="G5" s="517"/>
      <c r="H5" s="518"/>
    </row>
    <row r="6" spans="2:8" ht="16.8" x14ac:dyDescent="0.3">
      <c r="B6" s="278" t="s">
        <v>598</v>
      </c>
      <c r="C6" s="271" t="s">
        <v>321</v>
      </c>
      <c r="D6" s="272" t="s">
        <v>322</v>
      </c>
      <c r="E6" s="273" t="s">
        <v>323</v>
      </c>
      <c r="F6" s="274" t="s">
        <v>324</v>
      </c>
      <c r="G6" s="275" t="s">
        <v>599</v>
      </c>
      <c r="H6" s="279" t="s">
        <v>600</v>
      </c>
    </row>
    <row r="7" spans="2:8" ht="17.399999999999999" x14ac:dyDescent="0.3">
      <c r="B7" s="542" t="s">
        <v>396</v>
      </c>
      <c r="C7" s="543"/>
      <c r="D7" s="543"/>
      <c r="E7" s="543"/>
      <c r="F7" s="543"/>
      <c r="G7" s="543"/>
      <c r="H7" s="544"/>
    </row>
    <row r="8" spans="2:8" ht="15" x14ac:dyDescent="0.3">
      <c r="B8" s="61" t="s">
        <v>601</v>
      </c>
      <c r="C8" s="276">
        <f>ROUND(Input!C10*0.4*0.45,0)*Input!C14</f>
        <v>135000</v>
      </c>
      <c r="D8" s="276">
        <f>ROUND(Input!C10*0.6*0.45,0)*Input!C14</f>
        <v>202500</v>
      </c>
      <c r="E8" s="276">
        <f>ROUND(Input!C10*0.8*0.45,0)*Input!C14</f>
        <v>270000</v>
      </c>
      <c r="F8" s="110">
        <f>IF(Input!C13=0.4,C8,IF(Input!C13=0.6,D8,E8))</f>
        <v>270000</v>
      </c>
      <c r="G8" s="12">
        <f t="shared" ref="G8:H10" si="0">D8-C8</f>
        <v>67500</v>
      </c>
      <c r="H8" s="62">
        <f t="shared" si="0"/>
        <v>67500</v>
      </c>
    </row>
    <row r="9" spans="2:8" ht="15" x14ac:dyDescent="0.3">
      <c r="B9" s="61" t="s">
        <v>602</v>
      </c>
      <c r="C9" s="276">
        <f>ROUND(Input!C10*0.4*0.3,0)*Input!C14*1.15</f>
        <v>103499.99999999999</v>
      </c>
      <c r="D9" s="276">
        <f>ROUND(Input!C10*0.6*0.3,0)*Input!C14*1.15</f>
        <v>155250</v>
      </c>
      <c r="E9" s="276">
        <f>ROUND(Input!C10*0.8*0.3,0)*Input!C14*1.15</f>
        <v>206999.99999999997</v>
      </c>
      <c r="F9" s="110">
        <f>IF(Input!C13=0.4,C9,IF(Input!C13=0.6,D9,E9))</f>
        <v>206999.99999999997</v>
      </c>
      <c r="G9" s="12">
        <f t="shared" si="0"/>
        <v>51750.000000000015</v>
      </c>
      <c r="H9" s="62">
        <f t="shared" si="0"/>
        <v>51749.999999999971</v>
      </c>
    </row>
    <row r="10" spans="2:8" ht="15" x14ac:dyDescent="0.3">
      <c r="B10" s="61" t="s">
        <v>603</v>
      </c>
      <c r="C10" s="276">
        <f>ROUND(Input!C10*0.4*0.2,0)*Input!C14*1.4</f>
        <v>84000</v>
      </c>
      <c r="D10" s="276">
        <f>ROUND(Input!C10*0.6*0.2,0)*Input!C14*1.4</f>
        <v>125999.99999999999</v>
      </c>
      <c r="E10" s="276">
        <f>ROUND(Input!C10*0.8*0.2,0)*Input!C14*1.4</f>
        <v>168000</v>
      </c>
      <c r="F10" s="110">
        <f>IF(Input!C13=0.4,C10,IF(Input!C13=0.6,D10,E10))</f>
        <v>168000</v>
      </c>
      <c r="G10" s="12">
        <f t="shared" si="0"/>
        <v>41999.999999999985</v>
      </c>
      <c r="H10" s="62">
        <f t="shared" si="0"/>
        <v>42000.000000000015</v>
      </c>
    </row>
    <row r="11" spans="2:8" ht="15" x14ac:dyDescent="0.3">
      <c r="B11" s="61" t="s">
        <v>331</v>
      </c>
      <c r="C11" s="276">
        <f>Revenue!F17+Revenue!F18+Revenue!F19+Revenue!F20</f>
        <v>288000</v>
      </c>
      <c r="D11" s="276">
        <f>Revenue!F17+Revenue!F18+Revenue!F19+Revenue!F20</f>
        <v>288000</v>
      </c>
      <c r="E11" s="276">
        <f>Revenue!F17+Revenue!F18+Revenue!F19+Revenue!F20</f>
        <v>288000</v>
      </c>
      <c r="F11" s="110">
        <f>IF(Input!C13=0.4,C11,IF(Input!C13=0.6,D11,E11))</f>
        <v>288000</v>
      </c>
      <c r="G11" s="12">
        <f>0</f>
        <v>0</v>
      </c>
      <c r="H11" s="62">
        <f>0</f>
        <v>0</v>
      </c>
    </row>
    <row r="12" spans="2:8" ht="16.2" thickBot="1" x14ac:dyDescent="0.35">
      <c r="B12" s="257" t="s">
        <v>604</v>
      </c>
      <c r="C12" s="172">
        <f t="shared" ref="C12:H12" si="1">SUM(C8:C11)</f>
        <v>610500</v>
      </c>
      <c r="D12" s="172">
        <f t="shared" si="1"/>
        <v>771750</v>
      </c>
      <c r="E12" s="172">
        <f t="shared" si="1"/>
        <v>933000</v>
      </c>
      <c r="F12" s="172">
        <f t="shared" si="1"/>
        <v>933000</v>
      </c>
      <c r="G12" s="280">
        <f t="shared" si="1"/>
        <v>161250</v>
      </c>
      <c r="H12" s="281">
        <f t="shared" si="1"/>
        <v>161250</v>
      </c>
    </row>
    <row r="13" spans="2:8" ht="15" thickBot="1" x14ac:dyDescent="0.35">
      <c r="B13" s="282"/>
      <c r="C13" s="282"/>
      <c r="D13" s="282"/>
      <c r="E13" s="282"/>
      <c r="F13" s="282"/>
      <c r="G13" s="282"/>
      <c r="H13" s="282"/>
    </row>
    <row r="14" spans="2:8" ht="17.399999999999999" x14ac:dyDescent="0.3">
      <c r="B14" s="539" t="s">
        <v>605</v>
      </c>
      <c r="C14" s="540"/>
      <c r="D14" s="540"/>
      <c r="E14" s="540"/>
      <c r="F14" s="540"/>
      <c r="G14" s="540"/>
      <c r="H14" s="541"/>
    </row>
    <row r="15" spans="2:8" ht="15" x14ac:dyDescent="0.3">
      <c r="B15" s="61" t="s">
        <v>962</v>
      </c>
      <c r="C15" s="223">
        <f>'Cost sheet'!C43*ROUND(Input!C10*0.4,0)</f>
        <v>36000</v>
      </c>
      <c r="D15" s="223">
        <f>'Cost sheet'!C43*ROUND(Input!C10*0.6,0)</f>
        <v>54000</v>
      </c>
      <c r="E15" s="223">
        <f>'Cost sheet'!C43*ROUND(Input!C10*0.8,0)</f>
        <v>72000</v>
      </c>
      <c r="F15" s="223">
        <f>IF(Input!C13=0.4,C15,IF(Input!C13=0.6,D15,E15))</f>
        <v>72000</v>
      </c>
      <c r="G15" s="12">
        <f t="shared" ref="G15:H17" si="2">D15-C15</f>
        <v>18000</v>
      </c>
      <c r="H15" s="62">
        <f t="shared" si="2"/>
        <v>18000</v>
      </c>
    </row>
    <row r="16" spans="2:8" ht="15.6" x14ac:dyDescent="0.3">
      <c r="B16" s="283" t="s">
        <v>606</v>
      </c>
      <c r="C16" s="185">
        <f>C12-C15</f>
        <v>574500</v>
      </c>
      <c r="D16" s="185">
        <f>D12-D15</f>
        <v>717750</v>
      </c>
      <c r="E16" s="185">
        <f>E12-E15</f>
        <v>861000</v>
      </c>
      <c r="F16" s="277">
        <f>IF(Input!C13=0.4,C16,IF(Input!C13=0.6,D16,E16))</f>
        <v>861000</v>
      </c>
      <c r="G16" s="12">
        <f t="shared" si="2"/>
        <v>143250</v>
      </c>
      <c r="H16" s="62">
        <f t="shared" si="2"/>
        <v>143250</v>
      </c>
    </row>
    <row r="17" spans="2:8" ht="16.2" thickBot="1" x14ac:dyDescent="0.35">
      <c r="B17" s="284" t="s">
        <v>607</v>
      </c>
      <c r="C17" s="285">
        <f>IFERROR(C16/C12,0)</f>
        <v>0.94103194103194099</v>
      </c>
      <c r="D17" s="285">
        <f>IFERROR(D16/D12,0)</f>
        <v>0.93002915451895041</v>
      </c>
      <c r="E17" s="285">
        <f>IFERROR(E16/E12,0)</f>
        <v>0.92282958199356913</v>
      </c>
      <c r="F17" s="286">
        <f>IF(Input!C13=0.4,C17,IF(Input!C13=0.6,D17,E17))</f>
        <v>0.92282958199356913</v>
      </c>
      <c r="G17" s="286">
        <f t="shared" si="2"/>
        <v>-1.1002786512990581E-2</v>
      </c>
      <c r="H17" s="287">
        <f t="shared" si="2"/>
        <v>-7.1995725253812815E-3</v>
      </c>
    </row>
    <row r="18" spans="2:8" ht="15" thickBot="1" x14ac:dyDescent="0.35">
      <c r="B18" s="282"/>
      <c r="C18" s="282"/>
      <c r="D18" s="282"/>
      <c r="E18" s="282"/>
      <c r="F18" s="282"/>
      <c r="G18" s="282"/>
      <c r="H18" s="282"/>
    </row>
    <row r="19" spans="2:8" ht="17.399999999999999" x14ac:dyDescent="0.3">
      <c r="B19" s="539" t="s">
        <v>608</v>
      </c>
      <c r="C19" s="540"/>
      <c r="D19" s="540"/>
      <c r="E19" s="540"/>
      <c r="F19" s="540"/>
      <c r="G19" s="540"/>
      <c r="H19" s="541"/>
    </row>
    <row r="20" spans="2:8" ht="15" x14ac:dyDescent="0.3">
      <c r="B20" s="61" t="s">
        <v>963</v>
      </c>
      <c r="C20" s="228">
        <f>'Cost sheet'!C20</f>
        <v>747053.28120986826</v>
      </c>
      <c r="D20" s="228">
        <f>'Cost sheet'!C20</f>
        <v>747053.28120986826</v>
      </c>
      <c r="E20" s="228">
        <f>'Cost sheet'!C20</f>
        <v>747053.28120986826</v>
      </c>
      <c r="F20" s="228">
        <f>IF(Input!C13=0.4,C20,IF(Input!C13=0.6,D20,E20))</f>
        <v>747053.28120986826</v>
      </c>
      <c r="G20" s="12">
        <f>0</f>
        <v>0</v>
      </c>
      <c r="H20" s="62">
        <f>0</f>
        <v>0</v>
      </c>
    </row>
    <row r="21" spans="2:8" ht="15" x14ac:dyDescent="0.3">
      <c r="B21" s="61" t="s">
        <v>468</v>
      </c>
      <c r="C21" s="228">
        <f>'Cost sheet'!C21+'Cost sheet'!C22+'Cost sheet'!C23+'Cost sheet'!C24+'Cost sheet'!C25+'Cost sheet'!C26</f>
        <v>199000</v>
      </c>
      <c r="D21" s="228">
        <f>'Cost sheet'!C21+'Cost sheet'!C22+'Cost sheet'!C23+'Cost sheet'!C24+'Cost sheet'!C25+'Cost sheet'!C26</f>
        <v>199000</v>
      </c>
      <c r="E21" s="228">
        <f>'Cost sheet'!C21+'Cost sheet'!C22+'Cost sheet'!C23+'Cost sheet'!C24+'Cost sheet'!C25+'Cost sheet'!C26</f>
        <v>199000</v>
      </c>
      <c r="F21" s="228">
        <f>IF(Input!C13=0.4,C21,IF(Input!C13=0.6,D21,E21))</f>
        <v>199000</v>
      </c>
      <c r="G21" s="12">
        <f>0</f>
        <v>0</v>
      </c>
      <c r="H21" s="62">
        <f>0</f>
        <v>0</v>
      </c>
    </row>
    <row r="22" spans="2:8" ht="15" x14ac:dyDescent="0.3">
      <c r="B22" s="61" t="s">
        <v>951</v>
      </c>
      <c r="C22" s="228">
        <f>'Cost sheet'!C27</f>
        <v>18000</v>
      </c>
      <c r="D22" s="228">
        <f>'Cost sheet'!C27</f>
        <v>18000</v>
      </c>
      <c r="E22" s="228">
        <f>'Cost sheet'!C27</f>
        <v>18000</v>
      </c>
      <c r="F22" s="228">
        <f>IF(Input!C13=0.4,C22,IF(Input!C13=0.6,D22,E22))</f>
        <v>18000</v>
      </c>
      <c r="G22" s="12">
        <f>0</f>
        <v>0</v>
      </c>
      <c r="H22" s="62">
        <f>0</f>
        <v>0</v>
      </c>
    </row>
    <row r="23" spans="2:8" ht="15" x14ac:dyDescent="0.3">
      <c r="B23" s="61" t="s">
        <v>952</v>
      </c>
      <c r="C23" s="228">
        <f>'Cost sheet'!C28</f>
        <v>45000</v>
      </c>
      <c r="D23" s="228">
        <f>'Cost sheet'!C28</f>
        <v>45000</v>
      </c>
      <c r="E23" s="228">
        <f>'Cost sheet'!C28</f>
        <v>45000</v>
      </c>
      <c r="F23" s="228">
        <f>IF(Input!C13=0.4,C23,IF(Input!C13=0.6,D23,E23))</f>
        <v>45000</v>
      </c>
      <c r="G23" s="12">
        <f>0</f>
        <v>0</v>
      </c>
      <c r="H23" s="62">
        <f>0</f>
        <v>0</v>
      </c>
    </row>
    <row r="24" spans="2:8" ht="15" x14ac:dyDescent="0.3">
      <c r="B24" s="61" t="s">
        <v>953</v>
      </c>
      <c r="C24" s="228">
        <f>'Cost sheet'!C29</f>
        <v>15000</v>
      </c>
      <c r="D24" s="228">
        <f>'Cost sheet'!C29</f>
        <v>15000</v>
      </c>
      <c r="E24" s="228">
        <f>'Cost sheet'!C29</f>
        <v>15000</v>
      </c>
      <c r="F24" s="228">
        <f>IF(Input!C13=0.4,C24,IF(Input!C13=0.6,D24,E24))</f>
        <v>15000</v>
      </c>
      <c r="G24" s="12">
        <f>0</f>
        <v>0</v>
      </c>
      <c r="H24" s="62">
        <f>0</f>
        <v>0</v>
      </c>
    </row>
    <row r="25" spans="2:8" ht="15" x14ac:dyDescent="0.3">
      <c r="B25" s="61" t="s">
        <v>954</v>
      </c>
      <c r="C25" s="228">
        <f>'Cost sheet'!C30</f>
        <v>20000</v>
      </c>
      <c r="D25" s="228">
        <f>'Cost sheet'!C30</f>
        <v>20000</v>
      </c>
      <c r="E25" s="228">
        <f>'Cost sheet'!C30</f>
        <v>20000</v>
      </c>
      <c r="F25" s="228">
        <f>IF(Input!C13=0.4,C25,IF(Input!C13=0.6,D25,E25))</f>
        <v>20000</v>
      </c>
      <c r="G25" s="12">
        <f>0</f>
        <v>0</v>
      </c>
      <c r="H25" s="62">
        <f>0</f>
        <v>0</v>
      </c>
    </row>
    <row r="26" spans="2:8" ht="15" x14ac:dyDescent="0.3">
      <c r="B26" s="61" t="s">
        <v>955</v>
      </c>
      <c r="C26" s="228">
        <f>'Cost sheet'!C31+'Cost sheet'!C32+'Cost sheet'!C33</f>
        <v>17000</v>
      </c>
      <c r="D26" s="228">
        <f>'Cost sheet'!C31+'Cost sheet'!C32+'Cost sheet'!C33</f>
        <v>17000</v>
      </c>
      <c r="E26" s="228">
        <f>'Cost sheet'!C31+'Cost sheet'!C32+'Cost sheet'!C33</f>
        <v>17000</v>
      </c>
      <c r="F26" s="228">
        <f>IF(Input!C13=0.4,C26,IF(Input!C13=0.6,D26,E26))</f>
        <v>17000</v>
      </c>
      <c r="G26" s="12">
        <f>0</f>
        <v>0</v>
      </c>
      <c r="H26" s="62">
        <f>0</f>
        <v>0</v>
      </c>
    </row>
    <row r="27" spans="2:8" ht="16.2" thickBot="1" x14ac:dyDescent="0.35">
      <c r="B27" s="288" t="s">
        <v>609</v>
      </c>
      <c r="C27" s="232">
        <f>SUM(C20:C26)</f>
        <v>1061053.2812098684</v>
      </c>
      <c r="D27" s="232">
        <f>SUM(D20:D26)</f>
        <v>1061053.2812098684</v>
      </c>
      <c r="E27" s="232">
        <f>SUM(E20:E26)</f>
        <v>1061053.2812098684</v>
      </c>
      <c r="F27" s="232">
        <f>SUM(F20:F26)</f>
        <v>1061053.2812098684</v>
      </c>
      <c r="G27" s="280">
        <f>0</f>
        <v>0</v>
      </c>
      <c r="H27" s="281">
        <f>0</f>
        <v>0</v>
      </c>
    </row>
    <row r="28" spans="2:8" ht="15" thickBot="1" x14ac:dyDescent="0.35">
      <c r="B28" s="282"/>
      <c r="C28" s="282"/>
      <c r="D28" s="282"/>
      <c r="E28" s="282"/>
      <c r="F28" s="282"/>
      <c r="G28" s="282"/>
      <c r="H28" s="282"/>
    </row>
    <row r="29" spans="2:8" ht="17.399999999999999" x14ac:dyDescent="0.3">
      <c r="B29" s="539" t="s">
        <v>610</v>
      </c>
      <c r="C29" s="540"/>
      <c r="D29" s="540"/>
      <c r="E29" s="540"/>
      <c r="F29" s="540"/>
      <c r="G29" s="540"/>
      <c r="H29" s="541"/>
    </row>
    <row r="30" spans="2:8" ht="15.6" x14ac:dyDescent="0.3">
      <c r="B30" s="289" t="s">
        <v>611</v>
      </c>
      <c r="C30" s="190">
        <f>C16-C27</f>
        <v>-486553.28120986838</v>
      </c>
      <c r="D30" s="190">
        <f>D16-D27</f>
        <v>-343303.28120986838</v>
      </c>
      <c r="E30" s="190">
        <f>E16-E27</f>
        <v>-200053.28120986838</v>
      </c>
      <c r="F30" s="223">
        <f>IF(Input!C13=0.4,C30,IF(Input!C13=0.6,D30,E30))</f>
        <v>-200053.28120986838</v>
      </c>
      <c r="G30" s="12">
        <f>D30-C30</f>
        <v>143250</v>
      </c>
      <c r="H30" s="62">
        <f>E30-D30</f>
        <v>143250</v>
      </c>
    </row>
    <row r="31" spans="2:8" ht="15" x14ac:dyDescent="0.3">
      <c r="B31" s="61" t="s">
        <v>612</v>
      </c>
      <c r="C31" s="228">
        <f>'Cost sheet'!C63</f>
        <v>135208.33333333334</v>
      </c>
      <c r="D31" s="228">
        <f>'Cost sheet'!C63</f>
        <v>135208.33333333334</v>
      </c>
      <c r="E31" s="228">
        <f>'Cost sheet'!C63</f>
        <v>135208.33333333334</v>
      </c>
      <c r="F31" s="228">
        <f>IF(Input!C13=0.4,C31,IF(Input!C13=0.6,D31,E31))</f>
        <v>135208.33333333334</v>
      </c>
      <c r="G31" s="12">
        <f>0</f>
        <v>0</v>
      </c>
      <c r="H31" s="62">
        <f>0</f>
        <v>0</v>
      </c>
    </row>
    <row r="32" spans="2:8" ht="15.6" x14ac:dyDescent="0.3">
      <c r="B32" s="289" t="s">
        <v>418</v>
      </c>
      <c r="C32" s="190">
        <f>C30-C31</f>
        <v>-621761.61454320175</v>
      </c>
      <c r="D32" s="190">
        <f>D30-D31</f>
        <v>-478511.61454320175</v>
      </c>
      <c r="E32" s="190">
        <f>E30-E31</f>
        <v>-335261.61454320175</v>
      </c>
      <c r="F32" s="223">
        <f>IF(Input!C13=0.4,C32,IF(Input!C13=0.6,D32,E32))</f>
        <v>-335261.61454320175</v>
      </c>
      <c r="G32" s="12">
        <f>D32-C32</f>
        <v>143250</v>
      </c>
      <c r="H32" s="62">
        <f>E32-D32</f>
        <v>143250</v>
      </c>
    </row>
    <row r="33" spans="2:8" ht="15" x14ac:dyDescent="0.3">
      <c r="B33" s="61" t="s">
        <v>613</v>
      </c>
      <c r="C33" s="228">
        <f>'Cost sheet'!C66</f>
        <v>444750</v>
      </c>
      <c r="D33" s="228">
        <f>'Cost sheet'!C66</f>
        <v>444750</v>
      </c>
      <c r="E33" s="228">
        <f>'Cost sheet'!C66</f>
        <v>444750</v>
      </c>
      <c r="F33" s="228">
        <f>IF(Input!C13=0.4,C33,IF(Input!C13=0.6,D33,E33))</f>
        <v>444750</v>
      </c>
      <c r="G33" s="12">
        <f>0</f>
        <v>0</v>
      </c>
      <c r="H33" s="62">
        <f>0</f>
        <v>0</v>
      </c>
    </row>
    <row r="34" spans="2:8" ht="15.6" x14ac:dyDescent="0.3">
      <c r="B34" s="289" t="s">
        <v>422</v>
      </c>
      <c r="C34" s="190">
        <f>C32-C33</f>
        <v>-1066511.6145432019</v>
      </c>
      <c r="D34" s="190">
        <f>D32-D33</f>
        <v>-923261.61454320175</v>
      </c>
      <c r="E34" s="190">
        <f>E32-E33</f>
        <v>-780011.61454320175</v>
      </c>
      <c r="F34" s="223">
        <f>IF(Input!C13=0.4,C34,IF(Input!C13=0.6,D34,E34))</f>
        <v>-780011.61454320175</v>
      </c>
      <c r="G34" s="12">
        <f t="shared" ref="G34:H37" si="3">D34-C34</f>
        <v>143250.00000000012</v>
      </c>
      <c r="H34" s="62">
        <f t="shared" si="3"/>
        <v>143250</v>
      </c>
    </row>
    <row r="35" spans="2:8" ht="15" x14ac:dyDescent="0.3">
      <c r="B35" s="61" t="s">
        <v>614</v>
      </c>
      <c r="C35" s="12">
        <f>MAX(0,C34*Input!C21)</f>
        <v>0</v>
      </c>
      <c r="D35" s="12">
        <f>MAX(0,D34*Input!C21)</f>
        <v>0</v>
      </c>
      <c r="E35" s="12">
        <f>MAX(0,E34*Input!C21)</f>
        <v>0</v>
      </c>
      <c r="F35" s="12">
        <f>IF(Input!C13=0.4,C35,IF(Input!C13=0.6,D35,E35))</f>
        <v>0</v>
      </c>
      <c r="G35" s="12">
        <f t="shared" si="3"/>
        <v>0</v>
      </c>
      <c r="H35" s="62">
        <f t="shared" si="3"/>
        <v>0</v>
      </c>
    </row>
    <row r="36" spans="2:8" ht="15.6" x14ac:dyDescent="0.3">
      <c r="B36" s="283" t="s">
        <v>615</v>
      </c>
      <c r="C36" s="185">
        <f>C34-C35</f>
        <v>-1066511.6145432019</v>
      </c>
      <c r="D36" s="185">
        <f>D34-D35</f>
        <v>-923261.61454320175</v>
      </c>
      <c r="E36" s="185">
        <f>E34-E35</f>
        <v>-780011.61454320175</v>
      </c>
      <c r="F36" s="277">
        <f>IF(Input!C13=0.4,C36,IF(Input!C13=0.6,D36,E36))</f>
        <v>-780011.61454320175</v>
      </c>
      <c r="G36" s="12">
        <f t="shared" si="3"/>
        <v>143250.00000000012</v>
      </c>
      <c r="H36" s="62">
        <f t="shared" si="3"/>
        <v>143250</v>
      </c>
    </row>
    <row r="37" spans="2:8" ht="16.2" thickBot="1" x14ac:dyDescent="0.35">
      <c r="B37" s="284" t="s">
        <v>616</v>
      </c>
      <c r="C37" s="285">
        <f>IFERROR(C36/C12,0)</f>
        <v>-1.7469477715695363</v>
      </c>
      <c r="D37" s="285">
        <f>IFERROR(D36/D12,0)</f>
        <v>-1.1963221438849392</v>
      </c>
      <c r="E37" s="285">
        <f>IFERROR(E36/E12,0)</f>
        <v>-0.83602531033569316</v>
      </c>
      <c r="F37" s="286">
        <f>IF(Input!C13=0.4,C37,IF(Input!C13=0.6,D37,E37))</f>
        <v>-0.83602531033569316</v>
      </c>
      <c r="G37" s="286">
        <f t="shared" si="3"/>
        <v>0.55062562768459711</v>
      </c>
      <c r="H37" s="287">
        <f t="shared" si="3"/>
        <v>0.36029683354924602</v>
      </c>
    </row>
    <row r="38" spans="2:8" ht="15" thickBot="1" x14ac:dyDescent="0.35">
      <c r="B38" s="282"/>
      <c r="C38" s="282"/>
      <c r="D38" s="222"/>
      <c r="E38" s="222"/>
      <c r="F38" s="222"/>
      <c r="G38" s="222"/>
      <c r="H38" s="222"/>
    </row>
    <row r="39" spans="2:8" ht="17.399999999999999" x14ac:dyDescent="0.3">
      <c r="B39" s="290" t="s">
        <v>617</v>
      </c>
      <c r="C39" s="291"/>
    </row>
    <row r="40" spans="2:8" ht="15" x14ac:dyDescent="0.3">
      <c r="B40" s="61" t="s">
        <v>618</v>
      </c>
      <c r="C40" s="216" t="str">
        <f>IF(ABS(F12-'P&amp;L'!C10/12)&lt;5000,"✓ Match (monthly vs annual/12)","⚠ Review — different methodology")</f>
        <v>⚠ Review — different methodology</v>
      </c>
    </row>
    <row r="41" spans="2:8" ht="15.6" thickBot="1" x14ac:dyDescent="0.35">
      <c r="B41" s="48" t="s">
        <v>619</v>
      </c>
      <c r="C41" s="217" t="str">
        <f>IF(ABS(C27-'Cost sheet'!C34)&lt;1,"✓ Match","⚠ Mismatch")</f>
        <v>✓ Match</v>
      </c>
    </row>
  </sheetData>
  <mergeCells count="7">
    <mergeCell ref="B19:H19"/>
    <mergeCell ref="B29:H29"/>
    <mergeCell ref="B2:H2"/>
    <mergeCell ref="B3:H3"/>
    <mergeCell ref="B5:H5"/>
    <mergeCell ref="B7:H7"/>
    <mergeCell ref="B14:H14"/>
  </mergeCells>
  <hyperlinks>
    <hyperlink ref="B1" location="'Navigation Tab'!A1" display="Navigation Tab" xr:uid="{B4C950CD-9678-4776-A716-1B7B77025E61}"/>
  </hyperlink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B1:F79"/>
  <sheetViews>
    <sheetView showGridLines="0" zoomScale="85" zoomScaleNormal="85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52" bestFit="1" customWidth="1"/>
    <col min="3" max="3" width="23.5546875" bestFit="1" customWidth="1"/>
    <col min="4" max="4" width="15.5546875" bestFit="1" customWidth="1"/>
    <col min="5" max="5" width="46.44140625" bestFit="1" customWidth="1"/>
    <col min="6" max="6" width="46.33203125" bestFit="1" customWidth="1"/>
  </cols>
  <sheetData>
    <row r="1" spans="2:6" ht="21.6" thickBot="1" x14ac:dyDescent="0.45">
      <c r="B1" s="384" t="s">
        <v>1005</v>
      </c>
    </row>
    <row r="2" spans="2:6" ht="21" x14ac:dyDescent="0.3">
      <c r="B2" s="482" t="s">
        <v>620</v>
      </c>
      <c r="C2" s="483"/>
      <c r="D2" s="483"/>
      <c r="E2" s="483"/>
      <c r="F2" s="484"/>
    </row>
    <row r="3" spans="2:6" ht="16.2" thickBot="1" x14ac:dyDescent="0.35">
      <c r="B3" s="536" t="s">
        <v>621</v>
      </c>
      <c r="C3" s="537"/>
      <c r="D3" s="537"/>
      <c r="E3" s="537"/>
      <c r="F3" s="538"/>
    </row>
    <row r="4" spans="2:6" ht="15" thickBot="1" x14ac:dyDescent="0.35"/>
    <row r="5" spans="2:6" ht="17.399999999999999" x14ac:dyDescent="0.3">
      <c r="B5" s="488" t="s">
        <v>622</v>
      </c>
      <c r="C5" s="489"/>
      <c r="D5" s="490"/>
    </row>
    <row r="6" spans="2:6" ht="15.6" x14ac:dyDescent="0.3">
      <c r="B6" s="25" t="s">
        <v>623</v>
      </c>
      <c r="C6" s="9" t="s">
        <v>6</v>
      </c>
      <c r="D6" s="26" t="s">
        <v>7</v>
      </c>
    </row>
    <row r="7" spans="2:6" ht="15" x14ac:dyDescent="0.3">
      <c r="B7" s="61" t="s">
        <v>134</v>
      </c>
      <c r="C7" s="252">
        <f>Input!C10</f>
        <v>100</v>
      </c>
      <c r="D7" s="105" t="s">
        <v>10</v>
      </c>
    </row>
    <row r="8" spans="2:6" ht="15" x14ac:dyDescent="0.3">
      <c r="B8" s="61" t="s">
        <v>624</v>
      </c>
      <c r="C8" s="253">
        <f>Input!C13</f>
        <v>0.8</v>
      </c>
      <c r="D8" s="105" t="s">
        <v>18</v>
      </c>
    </row>
    <row r="9" spans="2:6" ht="15" x14ac:dyDescent="0.3">
      <c r="B9" s="61" t="s">
        <v>625</v>
      </c>
      <c r="C9" s="110">
        <f>Input!C14</f>
        <v>7500</v>
      </c>
      <c r="D9" s="105" t="s">
        <v>317</v>
      </c>
    </row>
    <row r="10" spans="2:6" ht="15" x14ac:dyDescent="0.3">
      <c r="B10" s="61" t="s">
        <v>572</v>
      </c>
      <c r="C10" s="110">
        <f>'Cost sheet'!C43</f>
        <v>900</v>
      </c>
      <c r="D10" s="105" t="s">
        <v>317</v>
      </c>
    </row>
    <row r="11" spans="2:6" ht="15" x14ac:dyDescent="0.3">
      <c r="B11" s="61" t="s">
        <v>626</v>
      </c>
      <c r="C11" s="110">
        <f>'Cost sheet'!C34</f>
        <v>1061053.2812098684</v>
      </c>
      <c r="D11" s="105" t="s">
        <v>21</v>
      </c>
    </row>
    <row r="12" spans="2:6" ht="15" x14ac:dyDescent="0.3">
      <c r="B12" s="61" t="s">
        <v>627</v>
      </c>
      <c r="C12" s="110">
        <f>'Cost sheet'!C15</f>
        <v>88950000</v>
      </c>
      <c r="D12" s="105" t="s">
        <v>384</v>
      </c>
    </row>
    <row r="13" spans="2:6" ht="15" x14ac:dyDescent="0.3">
      <c r="B13" s="61" t="s">
        <v>628</v>
      </c>
      <c r="C13" s="110">
        <f>'Cost sheet'!C63*12</f>
        <v>1622500</v>
      </c>
      <c r="D13" s="105" t="s">
        <v>629</v>
      </c>
    </row>
    <row r="14" spans="2:6" ht="15" x14ac:dyDescent="0.3">
      <c r="B14" s="61" t="s">
        <v>630</v>
      </c>
      <c r="C14" s="110">
        <f>'Cost sheet'!C66*12</f>
        <v>5337000</v>
      </c>
      <c r="D14" s="105" t="s">
        <v>629</v>
      </c>
    </row>
    <row r="15" spans="2:6" ht="15" x14ac:dyDescent="0.3">
      <c r="B15" s="61" t="s">
        <v>631</v>
      </c>
      <c r="C15" s="253">
        <f>Input!C21</f>
        <v>0.25</v>
      </c>
      <c r="D15" s="105" t="s">
        <v>18</v>
      </c>
    </row>
    <row r="16" spans="2:6" ht="15.6" thickBot="1" x14ac:dyDescent="0.35">
      <c r="B16" s="48" t="s">
        <v>632</v>
      </c>
      <c r="C16" s="309">
        <f>Input!C20</f>
        <v>0.10500000000000001</v>
      </c>
      <c r="D16" s="51" t="s">
        <v>18</v>
      </c>
    </row>
    <row r="17" spans="2:6" ht="15" thickBot="1" x14ac:dyDescent="0.35">
      <c r="B17" s="282"/>
      <c r="C17" s="282"/>
      <c r="D17" s="282"/>
      <c r="E17" s="282"/>
      <c r="F17" s="3"/>
    </row>
    <row r="18" spans="2:6" ht="17.399999999999999" x14ac:dyDescent="0.3">
      <c r="B18" s="488" t="s">
        <v>633</v>
      </c>
      <c r="C18" s="489"/>
      <c r="D18" s="489"/>
      <c r="E18" s="490"/>
    </row>
    <row r="19" spans="2:6" ht="15.6" x14ac:dyDescent="0.3">
      <c r="B19" s="25" t="s">
        <v>291</v>
      </c>
      <c r="C19" s="9" t="s">
        <v>6</v>
      </c>
      <c r="D19" s="9" t="s">
        <v>7</v>
      </c>
      <c r="E19" s="26" t="s">
        <v>8</v>
      </c>
      <c r="F19" s="21"/>
    </row>
    <row r="20" spans="2:6" ht="15.6" x14ac:dyDescent="0.3">
      <c r="B20" s="61" t="s">
        <v>634</v>
      </c>
      <c r="C20" s="12">
        <f>Input!C14</f>
        <v>7500</v>
      </c>
      <c r="D20" s="181" t="s">
        <v>317</v>
      </c>
      <c r="E20" s="262" t="s">
        <v>635</v>
      </c>
      <c r="F20" s="21"/>
    </row>
    <row r="21" spans="2:6" ht="15.6" x14ac:dyDescent="0.3">
      <c r="B21" s="61" t="s">
        <v>572</v>
      </c>
      <c r="C21" s="12">
        <f>'Cost sheet'!C43</f>
        <v>900</v>
      </c>
      <c r="D21" s="181" t="s">
        <v>317</v>
      </c>
      <c r="E21" s="262" t="s">
        <v>636</v>
      </c>
      <c r="F21" s="21"/>
    </row>
    <row r="22" spans="2:6" ht="15.6" x14ac:dyDescent="0.3">
      <c r="B22" s="61" t="s">
        <v>637</v>
      </c>
      <c r="C22" s="277">
        <f>Input!C14-'Cost sheet'!C43</f>
        <v>6600</v>
      </c>
      <c r="D22" s="181" t="s">
        <v>317</v>
      </c>
      <c r="E22" s="262" t="s">
        <v>638</v>
      </c>
      <c r="F22" s="21"/>
    </row>
    <row r="23" spans="2:6" ht="16.2" thickBot="1" x14ac:dyDescent="0.35">
      <c r="B23" s="48" t="s">
        <v>639</v>
      </c>
      <c r="C23" s="308">
        <f>IFERROR((Input!C14-'Cost sheet'!C43)/Input!C14,0)</f>
        <v>0.88</v>
      </c>
      <c r="D23" s="213" t="s">
        <v>18</v>
      </c>
      <c r="E23" s="264" t="s">
        <v>640</v>
      </c>
      <c r="F23" s="21"/>
    </row>
    <row r="24" spans="2:6" ht="15" thickBot="1" x14ac:dyDescent="0.35">
      <c r="B24" s="282"/>
      <c r="C24" s="282"/>
      <c r="D24" s="282"/>
      <c r="E24" s="282"/>
      <c r="F24" s="296"/>
    </row>
    <row r="25" spans="2:6" ht="17.399999999999999" x14ac:dyDescent="0.3">
      <c r="B25" s="497" t="s">
        <v>641</v>
      </c>
      <c r="C25" s="498"/>
      <c r="D25" s="498"/>
      <c r="E25" s="498"/>
      <c r="F25" s="499"/>
    </row>
    <row r="26" spans="2:6" ht="15.6" x14ac:dyDescent="0.3">
      <c r="B26" s="351" t="s">
        <v>642</v>
      </c>
      <c r="C26" s="350" t="s">
        <v>6</v>
      </c>
      <c r="D26" s="350" t="s">
        <v>7</v>
      </c>
      <c r="E26" s="350" t="s">
        <v>578</v>
      </c>
      <c r="F26" s="352" t="s">
        <v>8</v>
      </c>
    </row>
    <row r="27" spans="2:6" ht="15.6" x14ac:dyDescent="0.3">
      <c r="B27" s="365" t="s">
        <v>643</v>
      </c>
      <c r="C27" s="358">
        <f>IFERROR(CEILING('Cost sheet'!C34/(Input!C14-'Cost sheet'!C43),1),0)</f>
        <v>161</v>
      </c>
      <c r="D27" s="359" t="s">
        <v>645</v>
      </c>
      <c r="E27" s="360" t="s">
        <v>646</v>
      </c>
      <c r="F27" s="366" t="s">
        <v>644</v>
      </c>
    </row>
    <row r="28" spans="2:6" ht="15.6" x14ac:dyDescent="0.3">
      <c r="B28" s="365" t="s">
        <v>647</v>
      </c>
      <c r="C28" s="361">
        <f>IFERROR(CEILING('Cost sheet'!C34/(Input!C14-'Cost sheet'!C43),1)/Input!C10,0)</f>
        <v>1.61</v>
      </c>
      <c r="D28" s="359" t="s">
        <v>18</v>
      </c>
      <c r="E28" s="360" t="s">
        <v>649</v>
      </c>
      <c r="F28" s="366" t="s">
        <v>648</v>
      </c>
    </row>
    <row r="29" spans="2:6" ht="15.6" x14ac:dyDescent="0.3">
      <c r="B29" s="365" t="s">
        <v>650</v>
      </c>
      <c r="C29" s="362">
        <f>IFERROR(CEILING('Cost sheet'!C34/(Input!C14-'Cost sheet'!C43),1)*Input!C14,0)</f>
        <v>1207500</v>
      </c>
      <c r="D29" s="359" t="s">
        <v>21</v>
      </c>
      <c r="E29" s="360" t="s">
        <v>652</v>
      </c>
      <c r="F29" s="366" t="s">
        <v>651</v>
      </c>
    </row>
    <row r="30" spans="2:6" ht="15.6" x14ac:dyDescent="0.3">
      <c r="B30" s="81" t="s">
        <v>653</v>
      </c>
      <c r="C30" s="362">
        <f>IFERROR(CEILING('Cost sheet'!C34/(Input!C14-'Cost sheet'!C43),1)*Input!C14*12,0)</f>
        <v>14490000</v>
      </c>
      <c r="D30" s="359" t="s">
        <v>655</v>
      </c>
      <c r="E30" s="360" t="s">
        <v>656</v>
      </c>
      <c r="F30" s="366" t="s">
        <v>654</v>
      </c>
    </row>
    <row r="31" spans="2:6" ht="15.6" x14ac:dyDescent="0.3">
      <c r="B31" s="81" t="s">
        <v>657</v>
      </c>
      <c r="C31" s="362">
        <f>IFERROR('Cost sheet'!C34/((Input!C14-'Cost sheet'!C43)/Input!C14),0)</f>
        <v>1205742.365011214</v>
      </c>
      <c r="D31" s="359" t="s">
        <v>21</v>
      </c>
      <c r="E31" s="360" t="s">
        <v>659</v>
      </c>
      <c r="F31" s="366" t="s">
        <v>658</v>
      </c>
    </row>
    <row r="32" spans="2:6" ht="15.6" x14ac:dyDescent="0.3">
      <c r="B32" s="81" t="s">
        <v>660</v>
      </c>
      <c r="C32" s="363">
        <f>Input!C10*Input!C13-IFERROR(CEILING('Cost sheet'!C34/(Input!C14-'Cost sheet'!C43),1),0)</f>
        <v>-81</v>
      </c>
      <c r="D32" s="359" t="s">
        <v>10</v>
      </c>
      <c r="E32" s="360" t="s">
        <v>662</v>
      </c>
      <c r="F32" s="366" t="s">
        <v>661</v>
      </c>
    </row>
    <row r="33" spans="2:6" ht="15.6" x14ac:dyDescent="0.3">
      <c r="B33" s="365" t="s">
        <v>663</v>
      </c>
      <c r="C33" s="361">
        <f>IFERROR((Input!C10*Input!C13-CEILING('Cost sheet'!C34/(Input!C14-'Cost sheet'!C43),1))/(Input!C10*Input!C13),0)</f>
        <v>-1.0125</v>
      </c>
      <c r="D33" s="359" t="s">
        <v>18</v>
      </c>
      <c r="E33" s="360" t="s">
        <v>665</v>
      </c>
      <c r="F33" s="366" t="s">
        <v>664</v>
      </c>
    </row>
    <row r="34" spans="2:6" ht="15.6" x14ac:dyDescent="0.3">
      <c r="B34" s="365" t="s">
        <v>666</v>
      </c>
      <c r="C34" s="364">
        <f>Revenue!F21-IFERROR(CEILING('Cost sheet'!C34/(Input!C14-'Cost sheet'!C43),1)*Input!C14,0)</f>
        <v>-274500</v>
      </c>
      <c r="D34" s="359" t="s">
        <v>21</v>
      </c>
      <c r="E34" s="360" t="s">
        <v>668</v>
      </c>
      <c r="F34" s="366" t="s">
        <v>667</v>
      </c>
    </row>
    <row r="35" spans="2:6" ht="15.6" x14ac:dyDescent="0.3">
      <c r="B35" s="81" t="s">
        <v>669</v>
      </c>
      <c r="C35" s="358">
        <f>Input!C10*Input!C13</f>
        <v>80</v>
      </c>
      <c r="D35" s="359" t="s">
        <v>10</v>
      </c>
      <c r="E35" s="360" t="s">
        <v>671</v>
      </c>
      <c r="F35" s="366" t="s">
        <v>670</v>
      </c>
    </row>
    <row r="36" spans="2:6" ht="16.2" thickBot="1" x14ac:dyDescent="0.35">
      <c r="B36" s="84" t="s">
        <v>672</v>
      </c>
      <c r="C36" s="367">
        <f>Revenue!F21-IFERROR(CEILING('Cost sheet'!C34/(Input!C14-'Cost sheet'!C43),1)*Input!C14,0)</f>
        <v>-274500</v>
      </c>
      <c r="D36" s="368" t="s">
        <v>21</v>
      </c>
      <c r="E36" s="342" t="s">
        <v>674</v>
      </c>
      <c r="F36" s="369" t="s">
        <v>673</v>
      </c>
    </row>
    <row r="37" spans="2:6" ht="15" thickBot="1" x14ac:dyDescent="0.35">
      <c r="B37" s="282"/>
      <c r="C37" s="282"/>
      <c r="D37" s="282"/>
      <c r="E37" s="282"/>
      <c r="F37" s="282"/>
    </row>
    <row r="38" spans="2:6" ht="17.399999999999999" x14ac:dyDescent="0.3">
      <c r="B38" s="539" t="s">
        <v>675</v>
      </c>
      <c r="C38" s="540"/>
      <c r="D38" s="540"/>
      <c r="E38" s="540"/>
      <c r="F38" s="541"/>
    </row>
    <row r="39" spans="2:6" ht="46.8" x14ac:dyDescent="0.3">
      <c r="B39" s="25" t="s">
        <v>676</v>
      </c>
      <c r="C39" s="9" t="s">
        <v>677</v>
      </c>
      <c r="D39" s="9" t="s">
        <v>647</v>
      </c>
      <c r="E39" s="9" t="s">
        <v>678</v>
      </c>
      <c r="F39" s="26" t="s">
        <v>679</v>
      </c>
    </row>
    <row r="40" spans="2:6" ht="15" x14ac:dyDescent="0.3">
      <c r="B40" s="304">
        <v>5000</v>
      </c>
      <c r="C40" s="293">
        <f>IFERROR(CEILING('Cost sheet'!C34/(B40-'Cost sheet'!C43),1),"N/A")</f>
        <v>259</v>
      </c>
      <c r="D40" s="192">
        <f>IFERROR(CEILING('Cost sheet'!C34/(B40-'Cost sheet'!C43),1)/Input!C10,"N/A")</f>
        <v>2.59</v>
      </c>
      <c r="E40" s="92">
        <f>IFERROR(CEILING('Cost sheet'!C34/(B40-'Cost sheet'!C43),1)*B40,"N/A")</f>
        <v>1295000</v>
      </c>
      <c r="F40" s="105" t="str">
        <f>IFERROR(IF(CEILING('Cost sheet'!C34/(B40-'Cost sheet'!C43),1)&lt;=Input!C10,"✓ Feasible","✗ &gt;100% seats needed"),"✗ Below var cost")</f>
        <v>✗ &gt;100% seats needed</v>
      </c>
    </row>
    <row r="41" spans="2:6" ht="15" x14ac:dyDescent="0.3">
      <c r="B41" s="304">
        <v>6000</v>
      </c>
      <c r="C41" s="293">
        <f>IFERROR(CEILING('Cost sheet'!C34/(B41-'Cost sheet'!C43),1),"N/A")</f>
        <v>209</v>
      </c>
      <c r="D41" s="192">
        <f>IFERROR(CEILING('Cost sheet'!C34/(B41-'Cost sheet'!C43),1)/Input!C10,"N/A")</f>
        <v>2.09</v>
      </c>
      <c r="E41" s="92">
        <f>IFERROR(CEILING('Cost sheet'!C34/(B41-'Cost sheet'!C43),1)*B41,"N/A")</f>
        <v>1254000</v>
      </c>
      <c r="F41" s="105" t="str">
        <f>IFERROR(IF(CEILING('Cost sheet'!C34/(B41-'Cost sheet'!C43),1)&lt;=Input!C10,"✓ Feasible","✗ &gt;100% seats needed"),"✗ Below var cost")</f>
        <v>✗ &gt;100% seats needed</v>
      </c>
    </row>
    <row r="42" spans="2:6" ht="15" x14ac:dyDescent="0.3">
      <c r="B42" s="305">
        <v>7500</v>
      </c>
      <c r="C42" s="295">
        <f>IFERROR(CEILING('Cost sheet'!C34/(B42-'Cost sheet'!C43),1),"N/A")</f>
        <v>161</v>
      </c>
      <c r="D42" s="294">
        <f>IFERROR(CEILING('Cost sheet'!C34/(B42-'Cost sheet'!C43),1)/Input!C10,"N/A")</f>
        <v>1.61</v>
      </c>
      <c r="E42" s="223">
        <f>IFERROR(CEILING('Cost sheet'!C34/(B42-'Cost sheet'!C43),1)*B42,"N/A")</f>
        <v>1207500</v>
      </c>
      <c r="F42" s="249" t="str">
        <f>IFERROR(IF(CEILING('Cost sheet'!C34/(B42-'Cost sheet'!C43),1)&lt;=Input!C10,"✓ Feasible","✗ &gt;100% seats needed"),"✗ Below var cost")</f>
        <v>✗ &gt;100% seats needed</v>
      </c>
    </row>
    <row r="43" spans="2:6" ht="15" x14ac:dyDescent="0.3">
      <c r="B43" s="304">
        <v>9000</v>
      </c>
      <c r="C43" s="293">
        <f>IFERROR(CEILING('Cost sheet'!C34/(B43-'Cost sheet'!C43),1),"N/A")</f>
        <v>131</v>
      </c>
      <c r="D43" s="192">
        <f>IFERROR(CEILING('Cost sheet'!C34/(B43-'Cost sheet'!C43),1)/Input!C10,"N/A")</f>
        <v>1.31</v>
      </c>
      <c r="E43" s="92">
        <f>IFERROR(CEILING('Cost sheet'!C34/(B43-'Cost sheet'!C43),1)*B43,"N/A")</f>
        <v>1179000</v>
      </c>
      <c r="F43" s="105" t="str">
        <f>IFERROR(IF(CEILING('Cost sheet'!C34/(B43-'Cost sheet'!C43),1)&lt;=Input!C10,"✓ Feasible","✗ &gt;100% seats needed"),"✗ Below var cost")</f>
        <v>✗ &gt;100% seats needed</v>
      </c>
    </row>
    <row r="44" spans="2:6" ht="15" x14ac:dyDescent="0.3">
      <c r="B44" s="304">
        <v>10000</v>
      </c>
      <c r="C44" s="293">
        <f>IFERROR(CEILING('Cost sheet'!C34/(B44-'Cost sheet'!C43),1),"N/A")</f>
        <v>117</v>
      </c>
      <c r="D44" s="192">
        <f>IFERROR(CEILING('Cost sheet'!C34/(B44-'Cost sheet'!C43),1)/Input!C10,"N/A")</f>
        <v>1.17</v>
      </c>
      <c r="E44" s="92">
        <f>IFERROR(CEILING('Cost sheet'!C34/(B44-'Cost sheet'!C43),1)*B44,"N/A")</f>
        <v>1170000</v>
      </c>
      <c r="F44" s="105" t="str">
        <f>IFERROR(IF(CEILING('Cost sheet'!C34/(B44-'Cost sheet'!C43),1)&lt;=Input!C10,"✓ Feasible","✗ &gt;100% seats needed"),"✗ Below var cost")</f>
        <v>✗ &gt;100% seats needed</v>
      </c>
    </row>
    <row r="45" spans="2:6" ht="15" x14ac:dyDescent="0.3">
      <c r="B45" s="304">
        <v>12000</v>
      </c>
      <c r="C45" s="293">
        <f>IFERROR(CEILING('Cost sheet'!C34/(B45-'Cost sheet'!C43),1),"N/A")</f>
        <v>96</v>
      </c>
      <c r="D45" s="192">
        <f>IFERROR(CEILING('Cost sheet'!C34/(B45-'Cost sheet'!C43),1)/Input!C10,"N/A")</f>
        <v>0.96</v>
      </c>
      <c r="E45" s="92">
        <f>IFERROR(CEILING('Cost sheet'!C34/(B45-'Cost sheet'!C43),1)*B45,"N/A")</f>
        <v>1152000</v>
      </c>
      <c r="F45" s="105" t="str">
        <f>IFERROR(IF(CEILING('Cost sheet'!C34/(B45-'Cost sheet'!C43),1)&lt;=Input!C10,"✓ Feasible","✗ &gt;100% seats needed"),"✗ Below var cost")</f>
        <v>✓ Feasible</v>
      </c>
    </row>
    <row r="46" spans="2:6" ht="15" x14ac:dyDescent="0.3">
      <c r="B46" s="304">
        <v>15000</v>
      </c>
      <c r="C46" s="293">
        <f>IFERROR(CEILING('Cost sheet'!C34/(B46-'Cost sheet'!C43),1),"N/A")</f>
        <v>76</v>
      </c>
      <c r="D46" s="192">
        <f>IFERROR(CEILING('Cost sheet'!C34/(B46-'Cost sheet'!C43),1)/Input!C10,"N/A")</f>
        <v>0.76</v>
      </c>
      <c r="E46" s="92">
        <f>IFERROR(CEILING('Cost sheet'!C34/(B46-'Cost sheet'!C43),1)*B46,"N/A")</f>
        <v>1140000</v>
      </c>
      <c r="F46" s="105" t="str">
        <f>IFERROR(IF(CEILING('Cost sheet'!C34/(B46-'Cost sheet'!C43),1)&lt;=Input!C10,"✓ Feasible","✗ &gt;100% seats needed"),"✗ Below var cost")</f>
        <v>✓ Feasible</v>
      </c>
    </row>
    <row r="47" spans="2:6" ht="15" x14ac:dyDescent="0.3">
      <c r="B47" s="304">
        <v>18000</v>
      </c>
      <c r="C47" s="293">
        <f>IFERROR(CEILING('Cost sheet'!C34/(B47-'Cost sheet'!C43),1),"N/A")</f>
        <v>63</v>
      </c>
      <c r="D47" s="192">
        <f>IFERROR(CEILING('Cost sheet'!C34/(B47-'Cost sheet'!C43),1)/Input!C10,"N/A")</f>
        <v>0.63</v>
      </c>
      <c r="E47" s="92">
        <f>IFERROR(CEILING('Cost sheet'!C34/(B47-'Cost sheet'!C43),1)*B47,"N/A")</f>
        <v>1134000</v>
      </c>
      <c r="F47" s="105" t="str">
        <f>IFERROR(IF(CEILING('Cost sheet'!C34/(B47-'Cost sheet'!C43),1)&lt;=Input!C10,"✓ Feasible","✗ &gt;100% seats needed"),"✗ Below var cost")</f>
        <v>✓ Feasible</v>
      </c>
    </row>
    <row r="48" spans="2:6" ht="15" x14ac:dyDescent="0.3">
      <c r="B48" s="304">
        <v>20000</v>
      </c>
      <c r="C48" s="293">
        <f>IFERROR(CEILING('Cost sheet'!C34/(B48-'Cost sheet'!C43),1),"N/A")</f>
        <v>56</v>
      </c>
      <c r="D48" s="192">
        <f>IFERROR(CEILING('Cost sheet'!C34/(B48-'Cost sheet'!C43),1)/Input!C10,"N/A")</f>
        <v>0.56000000000000005</v>
      </c>
      <c r="E48" s="92">
        <f>IFERROR(CEILING('Cost sheet'!C34/(B48-'Cost sheet'!C43),1)*B48,"N/A")</f>
        <v>1120000</v>
      </c>
      <c r="F48" s="105" t="str">
        <f>IFERROR(IF(CEILING('Cost sheet'!C34/(B48-'Cost sheet'!C43),1)&lt;=Input!C10,"✓ Feasible","✗ &gt;100% seats needed"),"✗ Below var cost")</f>
        <v>✓ Feasible</v>
      </c>
    </row>
    <row r="49" spans="2:6" ht="15.6" thickBot="1" x14ac:dyDescent="0.35">
      <c r="B49" s="306">
        <v>25000</v>
      </c>
      <c r="C49" s="302">
        <f>IFERROR(CEILING('Cost sheet'!C34/(B49-'Cost sheet'!C43),1),"N/A")</f>
        <v>45</v>
      </c>
      <c r="D49" s="214">
        <f>IFERROR(CEILING('Cost sheet'!C34/(B49-'Cost sheet'!C43),1)/Input!C10,"N/A")</f>
        <v>0.45</v>
      </c>
      <c r="E49" s="106">
        <f>IFERROR(CEILING('Cost sheet'!C34/(B49-'Cost sheet'!C43),1)*B49,"N/A")</f>
        <v>1125000</v>
      </c>
      <c r="F49" s="51" t="str">
        <f>IFERROR(IF(CEILING('Cost sheet'!C34/(B49-'Cost sheet'!C43),1)&lt;=Input!C10,"✓ Feasible","✗ &gt;100% seats needed"),"✗ Below var cost")</f>
        <v>✓ Feasible</v>
      </c>
    </row>
    <row r="50" spans="2:6" ht="15" thickBot="1" x14ac:dyDescent="0.35">
      <c r="B50" s="282"/>
      <c r="C50" s="282"/>
      <c r="D50" s="282"/>
      <c r="E50" s="282"/>
      <c r="F50" s="282"/>
    </row>
    <row r="51" spans="2:6" ht="17.399999999999999" x14ac:dyDescent="0.3">
      <c r="B51" s="539" t="s">
        <v>680</v>
      </c>
      <c r="C51" s="540"/>
      <c r="D51" s="540"/>
      <c r="E51" s="540"/>
      <c r="F51" s="541"/>
    </row>
    <row r="52" spans="2:6" ht="31.2" x14ac:dyDescent="0.3">
      <c r="B52" s="25" t="s">
        <v>681</v>
      </c>
      <c r="C52" s="9" t="s">
        <v>325</v>
      </c>
      <c r="D52" s="9" t="s">
        <v>142</v>
      </c>
      <c r="E52" s="9" t="s">
        <v>682</v>
      </c>
      <c r="F52" s="26" t="s">
        <v>683</v>
      </c>
    </row>
    <row r="53" spans="2:6" ht="15" x14ac:dyDescent="0.3">
      <c r="B53" s="297">
        <v>0.2</v>
      </c>
      <c r="C53" s="293">
        <f>ROUND(Input!C10*B53,0)</f>
        <v>20</v>
      </c>
      <c r="D53" s="92">
        <f>ROUND(C53*0.45,0)*Input!C14+ROUND(C53*0.3,0)*Input!C14*1.15+ROUND(C53*0.2,0)*Input!C14*1.4+Revenue!F17+Revenue!F18+Revenue!F19+Revenue!F20</f>
        <v>449250</v>
      </c>
      <c r="E53" s="92">
        <f>D53-'Cost sheet'!C34-'Cost sheet'!C43*C53</f>
        <v>-629803.28120986838</v>
      </c>
      <c r="F53" s="298">
        <f t="shared" ref="F53:F61" si="0">IFERROR(E53/D53,0)</f>
        <v>-1.4018993460431126</v>
      </c>
    </row>
    <row r="54" spans="2:6" ht="15" x14ac:dyDescent="0.3">
      <c r="B54" s="297">
        <v>0.3</v>
      </c>
      <c r="C54" s="293">
        <f>ROUND(Input!C10*B54,0)</f>
        <v>30</v>
      </c>
      <c r="D54" s="92">
        <f>ROUND(C54*0.45,0)*Input!C14+ROUND(C54*0.3,0)*Input!C14*1.15+ROUND(C54*0.2,0)*Input!C14*1.4+Revenue!F17+Revenue!F18+Revenue!F19+Revenue!F20</f>
        <v>533625</v>
      </c>
      <c r="E54" s="92">
        <f>D54-'Cost sheet'!C34-'Cost sheet'!C43*C54</f>
        <v>-554428.28120986838</v>
      </c>
      <c r="F54" s="298">
        <f t="shared" si="0"/>
        <v>-1.0389848324382636</v>
      </c>
    </row>
    <row r="55" spans="2:6" ht="15" x14ac:dyDescent="0.3">
      <c r="B55" s="297">
        <v>0.4</v>
      </c>
      <c r="C55" s="293">
        <f>ROUND(Input!C10*B55,0)</f>
        <v>40</v>
      </c>
      <c r="D55" s="92">
        <f>ROUND(C55*0.45,0)*Input!C14+ROUND(C55*0.3,0)*Input!C14*1.15+ROUND(C55*0.2,0)*Input!C14*1.4+Revenue!F17+Revenue!F18+Revenue!F19+Revenue!F20</f>
        <v>610500</v>
      </c>
      <c r="E55" s="92">
        <f>D55-'Cost sheet'!C34-'Cost sheet'!C43*C55</f>
        <v>-486553.28120986838</v>
      </c>
      <c r="F55" s="298">
        <f t="shared" si="0"/>
        <v>-0.796975071596836</v>
      </c>
    </row>
    <row r="56" spans="2:6" ht="15" x14ac:dyDescent="0.3">
      <c r="B56" s="297">
        <v>0.5</v>
      </c>
      <c r="C56" s="293">
        <f>ROUND(Input!C10*B56,0)</f>
        <v>50</v>
      </c>
      <c r="D56" s="92">
        <f>ROUND(C56*0.45,0)*Input!C14+ROUND(C56*0.3,0)*Input!C14*1.15+ROUND(C56*0.2,0)*Input!C14*1.4+Revenue!F17+Revenue!F18+Revenue!F19+Revenue!F20</f>
        <v>694875</v>
      </c>
      <c r="E56" s="92">
        <f>D56-'Cost sheet'!C34-'Cost sheet'!C43*C56</f>
        <v>-411178.28120986838</v>
      </c>
      <c r="F56" s="298">
        <f t="shared" si="0"/>
        <v>-0.59172985243370158</v>
      </c>
    </row>
    <row r="57" spans="2:6" ht="15" x14ac:dyDescent="0.3">
      <c r="B57" s="297">
        <v>0.6</v>
      </c>
      <c r="C57" s="293">
        <f>ROUND(Input!C10*B57,0)</f>
        <v>60</v>
      </c>
      <c r="D57" s="92">
        <f>ROUND(C57*0.45,0)*Input!C14+ROUND(C57*0.3,0)*Input!C14*1.15+ROUND(C57*0.2,0)*Input!C14*1.4+Revenue!F17+Revenue!F18+Revenue!F19+Revenue!F20</f>
        <v>771750</v>
      </c>
      <c r="E57" s="92">
        <f>D57-'Cost sheet'!C34-'Cost sheet'!C43*C57</f>
        <v>-343303.28120986838</v>
      </c>
      <c r="F57" s="298">
        <f t="shared" si="0"/>
        <v>-0.4448374230124631</v>
      </c>
    </row>
    <row r="58" spans="2:6" ht="15" x14ac:dyDescent="0.3">
      <c r="B58" s="297">
        <v>0.7</v>
      </c>
      <c r="C58" s="293">
        <f>ROUND(Input!C10*B58,0)</f>
        <v>70</v>
      </c>
      <c r="D58" s="92">
        <f>ROUND(C58*0.45,0)*Input!C14+ROUND(C58*0.3,0)*Input!C14*1.15+ROUND(C58*0.2,0)*Input!C14*1.4+Revenue!F17+Revenue!F18+Revenue!F19+Revenue!F20</f>
        <v>856125</v>
      </c>
      <c r="E58" s="92">
        <f>D58-'Cost sheet'!C34-'Cost sheet'!C43*C58</f>
        <v>-267928.28120986838</v>
      </c>
      <c r="F58" s="298">
        <f t="shared" si="0"/>
        <v>-0.31295462836603111</v>
      </c>
    </row>
    <row r="59" spans="2:6" ht="15.6" x14ac:dyDescent="0.3">
      <c r="B59" s="299">
        <v>0.8</v>
      </c>
      <c r="C59" s="295">
        <f>ROUND(Input!C10*B59,0)</f>
        <v>80</v>
      </c>
      <c r="D59" s="223">
        <f>ROUND(C59*0.45,0)*Input!C14+ROUND(C59*0.3,0)*Input!C14*1.15+ROUND(C59*0.2,0)*Input!C14*1.4+Revenue!F17+Revenue!F18+Revenue!F19+Revenue!F20</f>
        <v>933000</v>
      </c>
      <c r="E59" s="223">
        <f>D59-'Cost sheet'!C34-'Cost sheet'!C43*C59</f>
        <v>-200053.28120986838</v>
      </c>
      <c r="F59" s="300">
        <f t="shared" si="0"/>
        <v>-0.21441937964616117</v>
      </c>
    </row>
    <row r="60" spans="2:6" ht="15" x14ac:dyDescent="0.3">
      <c r="B60" s="297">
        <v>0.9</v>
      </c>
      <c r="C60" s="293">
        <f>ROUND(Input!C10*B60,0)</f>
        <v>90</v>
      </c>
      <c r="D60" s="92">
        <f>ROUND(C60*0.45,0)*Input!C14+ROUND(C60*0.3,0)*Input!C14*1.15+ROUND(C60*0.2,0)*Input!C14*1.4+Revenue!F17+Revenue!F18+Revenue!F19+Revenue!F20</f>
        <v>1017375</v>
      </c>
      <c r="E60" s="92">
        <f>D60-'Cost sheet'!C34-'Cost sheet'!C43*C60</f>
        <v>-124678.28120986838</v>
      </c>
      <c r="F60" s="298">
        <f t="shared" si="0"/>
        <v>-0.12254899246577552</v>
      </c>
    </row>
    <row r="61" spans="2:6" ht="15.6" thickBot="1" x14ac:dyDescent="0.35">
      <c r="B61" s="301">
        <v>1</v>
      </c>
      <c r="C61" s="302">
        <f>ROUND(Input!C10*B61,0)</f>
        <v>100</v>
      </c>
      <c r="D61" s="106">
        <f>ROUND(C61*0.45,0)*Input!C14+ROUND(C61*0.3,0)*Input!C14*1.15+ROUND(C61*0.2,0)*Input!C14*1.4+Revenue!F17+Revenue!F18+Revenue!F19+Revenue!F20</f>
        <v>1094250</v>
      </c>
      <c r="E61" s="106">
        <f>D61-'Cost sheet'!C34-'Cost sheet'!C43*C61</f>
        <v>-56803.281209868379</v>
      </c>
      <c r="F61" s="303">
        <f t="shared" si="0"/>
        <v>-5.1910697929968816E-2</v>
      </c>
    </row>
    <row r="62" spans="2:6" ht="15" thickBot="1" x14ac:dyDescent="0.35">
      <c r="B62" s="282"/>
      <c r="C62" s="282"/>
      <c r="D62" s="222"/>
      <c r="E62" s="222"/>
      <c r="F62" s="222"/>
    </row>
    <row r="63" spans="2:6" ht="17.399999999999999" x14ac:dyDescent="0.3">
      <c r="B63" s="290" t="s">
        <v>684</v>
      </c>
      <c r="C63" s="291"/>
    </row>
    <row r="64" spans="2:6" ht="15" x14ac:dyDescent="0.3">
      <c r="B64" s="61" t="s">
        <v>685</v>
      </c>
      <c r="C64" s="216" t="str">
        <f>IF(ABS(C28-Occupancy!C51)&lt;0.01,"✓ Match","⚠ Check methodology")</f>
        <v>✓ Match</v>
      </c>
    </row>
    <row r="65" spans="2:3" ht="15" x14ac:dyDescent="0.3">
      <c r="B65" s="61" t="s">
        <v>686</v>
      </c>
      <c r="C65" s="216" t="str">
        <f>IF(ABS(C31-'Cost sheet'!C34/((Input!C14-'Cost sheet'!C43)/Input!C14))&lt;1,"✓ Match","⚠ Mismatch")</f>
        <v>✓ Match</v>
      </c>
    </row>
    <row r="66" spans="2:3" ht="15.6" thickBot="1" x14ac:dyDescent="0.35">
      <c r="B66" s="48" t="s">
        <v>687</v>
      </c>
      <c r="C66" s="217" t="str">
        <f>IF(Input!C14&gt;'Cost sheet'!C43,"✓ Contribution Positive","✗ Price &lt; Variable Cost")</f>
        <v>✓ Contribution Positive</v>
      </c>
    </row>
    <row r="69" spans="2:3" ht="15.6" x14ac:dyDescent="0.3">
      <c r="B69" s="25" t="s">
        <v>987</v>
      </c>
      <c r="C69" s="9" t="s">
        <v>677</v>
      </c>
    </row>
    <row r="70" spans="2:3" ht="15" x14ac:dyDescent="0.3">
      <c r="B70" s="304">
        <f>B40</f>
        <v>5000</v>
      </c>
      <c r="C70" s="293">
        <f>C40</f>
        <v>259</v>
      </c>
    </row>
    <row r="71" spans="2:3" ht="15" x14ac:dyDescent="0.3">
      <c r="B71" s="304">
        <f t="shared" ref="B71:C79" si="1">B41</f>
        <v>6000</v>
      </c>
      <c r="C71" s="293">
        <f t="shared" si="1"/>
        <v>209</v>
      </c>
    </row>
    <row r="72" spans="2:3" ht="15" x14ac:dyDescent="0.3">
      <c r="B72" s="370">
        <f t="shared" si="1"/>
        <v>7500</v>
      </c>
      <c r="C72" s="371">
        <f t="shared" si="1"/>
        <v>161</v>
      </c>
    </row>
    <row r="73" spans="2:3" ht="15" x14ac:dyDescent="0.3">
      <c r="B73" s="304">
        <f t="shared" si="1"/>
        <v>9000</v>
      </c>
      <c r="C73" s="293">
        <f t="shared" si="1"/>
        <v>131</v>
      </c>
    </row>
    <row r="74" spans="2:3" ht="15" x14ac:dyDescent="0.3">
      <c r="B74" s="304">
        <f t="shared" si="1"/>
        <v>10000</v>
      </c>
      <c r="C74" s="293">
        <f t="shared" si="1"/>
        <v>117</v>
      </c>
    </row>
    <row r="75" spans="2:3" ht="15" x14ac:dyDescent="0.3">
      <c r="B75" s="304">
        <f t="shared" si="1"/>
        <v>12000</v>
      </c>
      <c r="C75" s="293">
        <f t="shared" si="1"/>
        <v>96</v>
      </c>
    </row>
    <row r="76" spans="2:3" ht="15" x14ac:dyDescent="0.3">
      <c r="B76" s="304">
        <f t="shared" si="1"/>
        <v>15000</v>
      </c>
      <c r="C76" s="293">
        <f t="shared" si="1"/>
        <v>76</v>
      </c>
    </row>
    <row r="77" spans="2:3" ht="15" x14ac:dyDescent="0.3">
      <c r="B77" s="304">
        <f t="shared" si="1"/>
        <v>18000</v>
      </c>
      <c r="C77" s="293">
        <f t="shared" si="1"/>
        <v>63</v>
      </c>
    </row>
    <row r="78" spans="2:3" ht="15" x14ac:dyDescent="0.3">
      <c r="B78" s="304">
        <f t="shared" si="1"/>
        <v>20000</v>
      </c>
      <c r="C78" s="293">
        <f t="shared" si="1"/>
        <v>56</v>
      </c>
    </row>
    <row r="79" spans="2:3" ht="15" x14ac:dyDescent="0.3">
      <c r="B79" s="304">
        <f t="shared" si="1"/>
        <v>25000</v>
      </c>
      <c r="C79" s="293">
        <f t="shared" si="1"/>
        <v>45</v>
      </c>
    </row>
  </sheetData>
  <mergeCells count="7">
    <mergeCell ref="B38:F38"/>
    <mergeCell ref="B51:F51"/>
    <mergeCell ref="B2:F2"/>
    <mergeCell ref="B3:F3"/>
    <mergeCell ref="B25:F25"/>
    <mergeCell ref="B18:E18"/>
    <mergeCell ref="B5:D5"/>
  </mergeCells>
  <hyperlinks>
    <hyperlink ref="B1" location="'Navigation Tab'!A1" display="Navigation Tab" xr:uid="{8B966989-050A-4FD3-95C8-718ECB2E8D09}"/>
  </hyperlinks>
  <pageMargins left="0.75" right="0.75" top="1" bottom="1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B1:J56"/>
  <sheetViews>
    <sheetView showGridLines="0" topLeftCell="A14" zoomScaleNormal="100" workbookViewId="0">
      <selection activeCell="J1" sqref="J1"/>
    </sheetView>
  </sheetViews>
  <sheetFormatPr defaultColWidth="8.6640625" defaultRowHeight="14.4" x14ac:dyDescent="0.3"/>
  <cols>
    <col min="1" max="1" width="3" customWidth="1"/>
    <col min="2" max="2" width="27.44140625" customWidth="1"/>
    <col min="3" max="10" width="17" bestFit="1" customWidth="1"/>
  </cols>
  <sheetData>
    <row r="1" spans="2:10" ht="21.6" thickBot="1" x14ac:dyDescent="0.45">
      <c r="B1" s="384" t="s">
        <v>1005</v>
      </c>
    </row>
    <row r="2" spans="2:10" ht="21" x14ac:dyDescent="0.3">
      <c r="B2" s="482" t="s">
        <v>688</v>
      </c>
      <c r="C2" s="483"/>
      <c r="D2" s="483"/>
      <c r="E2" s="483"/>
      <c r="F2" s="483"/>
      <c r="G2" s="483"/>
      <c r="H2" s="483"/>
      <c r="I2" s="484"/>
    </row>
    <row r="3" spans="2:10" ht="16.2" thickBot="1" x14ac:dyDescent="0.35">
      <c r="B3" s="536" t="s">
        <v>689</v>
      </c>
      <c r="C3" s="537"/>
      <c r="D3" s="537"/>
      <c r="E3" s="537"/>
      <c r="F3" s="537"/>
      <c r="G3" s="537"/>
      <c r="H3" s="537"/>
      <c r="I3" s="538"/>
    </row>
    <row r="4" spans="2:10" ht="15" thickBot="1" x14ac:dyDescent="0.35"/>
    <row r="5" spans="2:10" ht="17.399999999999999" x14ac:dyDescent="0.3">
      <c r="B5" s="488" t="s">
        <v>964</v>
      </c>
      <c r="C5" s="489"/>
      <c r="D5" s="489"/>
      <c r="E5" s="489"/>
      <c r="F5" s="489"/>
      <c r="G5" s="489"/>
      <c r="H5" s="489"/>
      <c r="I5" s="489"/>
      <c r="J5" s="490"/>
    </row>
    <row r="6" spans="2:10" ht="15.6" x14ac:dyDescent="0.3">
      <c r="B6" s="103" t="s">
        <v>690</v>
      </c>
      <c r="C6" s="91" t="s">
        <v>691</v>
      </c>
      <c r="D6" s="91" t="s">
        <v>692</v>
      </c>
      <c r="E6" s="91" t="s">
        <v>693</v>
      </c>
      <c r="F6" s="91" t="s">
        <v>694</v>
      </c>
      <c r="G6" s="91" t="s">
        <v>695</v>
      </c>
      <c r="H6" s="91" t="s">
        <v>696</v>
      </c>
      <c r="I6" s="91" t="s">
        <v>697</v>
      </c>
      <c r="J6" s="104" t="s">
        <v>698</v>
      </c>
    </row>
    <row r="7" spans="2:10" ht="15" x14ac:dyDescent="0.3">
      <c r="B7" s="266" t="s">
        <v>699</v>
      </c>
      <c r="C7" s="92">
        <f>ROUND(Input!C10*0.2*0.45,0)*5000+ROUND(Input!C10*0.2*0.3,0)*5000*1.15+ROUND(Input!C10*0.2*0.2,0)*5000*1.4+Revenue!F17+Revenue!F18+Revenue!F19+Revenue!F20-'Cost sheet'!C34-'Cost sheet'!C43*ROUND(Input!C10*0.2,0)</f>
        <v>-683553.28120986838</v>
      </c>
      <c r="D7" s="92">
        <f>ROUND(Input!C10*0.2*0.45,0)*6000+ROUND(Input!C10*0.2*0.3,0)*6000*1.15+ROUND(Input!C10*0.2*0.2,0)*6000*1.4+Revenue!F17+Revenue!F18+Revenue!F19+Revenue!F20-'Cost sheet'!C34-'Cost sheet'!C43*ROUND(Input!C10*0.2,0)</f>
        <v>-662053.28120986838</v>
      </c>
      <c r="E7" s="92">
        <f>ROUND(Input!C10*0.2*0.45,0)*7500+ROUND(Input!C10*0.2*0.3,0)*7500*1.15+ROUND(Input!C10*0.2*0.2,0)*7500*1.4+Revenue!F17+Revenue!F18+Revenue!F19+Revenue!F20-'Cost sheet'!C34-'Cost sheet'!C43*ROUND(Input!C10*0.2,0)</f>
        <v>-629803.28120986838</v>
      </c>
      <c r="F7" s="92">
        <f>ROUND(Input!C10*0.2*0.45,0)*9000+ROUND(Input!C10*0.2*0.3,0)*9000*1.15+ROUND(Input!C10*0.2*0.2,0)*9000*1.4+Revenue!F17+Revenue!F18+Revenue!F19+Revenue!F20-'Cost sheet'!C34-'Cost sheet'!C43*ROUND(Input!C10*0.2,0)</f>
        <v>-597553.28120986838</v>
      </c>
      <c r="G7" s="92">
        <f>ROUND(Input!C10*0.2*0.45,0)*10000+ROUND(Input!C10*0.2*0.3,0)*10000*1.15+ROUND(Input!C10*0.2*0.2,0)*10000*1.4+Revenue!F17+Revenue!F18+Revenue!F19+Revenue!F20-'Cost sheet'!C34-'Cost sheet'!C43*ROUND(Input!C10*0.2,0)</f>
        <v>-576053.28120986838</v>
      </c>
      <c r="H7" s="92">
        <f>ROUND(Input!C10*0.2*0.45,0)*12000+ROUND(Input!C10*0.2*0.3,0)*12000*1.15+ROUND(Input!C10*0.2*0.2,0)*12000*1.4+Revenue!F17+Revenue!F18+Revenue!F19+Revenue!F20-'Cost sheet'!C34-'Cost sheet'!C43*ROUND(Input!C10*0.2,0)</f>
        <v>-533053.28120986838</v>
      </c>
      <c r="I7" s="92">
        <f>ROUND(Input!C10*0.2*0.45,0)*15000+ROUND(Input!C10*0.2*0.3,0)*15000*1.15+ROUND(Input!C10*0.2*0.2,0)*15000*1.4+Revenue!F17+Revenue!F18+Revenue!F19+Revenue!F20-'Cost sheet'!C34-'Cost sheet'!C43*ROUND(Input!C10*0.2,0)</f>
        <v>-468553.28120986838</v>
      </c>
      <c r="J7" s="267">
        <f>ROUND(Input!C10*0.2*0.45,0)*20000+ROUND(Input!C10*0.2*0.3,0)*20000*1.15+ROUND(Input!C10*0.2*0.2,0)*20000*1.4+Revenue!F17+Revenue!F18+Revenue!F19+Revenue!F20-'Cost sheet'!C34-'Cost sheet'!C43*ROUND(Input!C10*0.2,0)</f>
        <v>-361053.28120986838</v>
      </c>
    </row>
    <row r="8" spans="2:10" ht="15" x14ac:dyDescent="0.3">
      <c r="B8" s="266" t="s">
        <v>700</v>
      </c>
      <c r="C8" s="92">
        <f>ROUND(Input!C10*0.3*0.45,0)*5000+ROUND(Input!C10*0.3*0.3,0)*5000*1.15+ROUND(Input!C10*0.3*0.2,0)*5000*1.4+Revenue!F17+Revenue!F18+Revenue!F19+Revenue!F20-'Cost sheet'!C34-'Cost sheet'!C43*ROUND(Input!C10*0.3,0)</f>
        <v>-636303.28120986838</v>
      </c>
      <c r="D8" s="92">
        <f>ROUND(Input!C10*0.3*0.45,0)*6000+ROUND(Input!C10*0.3*0.3,0)*6000*1.15+ROUND(Input!C10*0.3*0.2,0)*6000*1.4+Revenue!F17+Revenue!F18+Revenue!F19+Revenue!F20-'Cost sheet'!C34-'Cost sheet'!C43*ROUND(Input!C10*0.3,0)</f>
        <v>-603553.28120986838</v>
      </c>
      <c r="E8" s="92">
        <f>ROUND(Input!C10*0.3*0.45,0)*7500+ROUND(Input!C10*0.3*0.3,0)*7500*1.15+ROUND(Input!C10*0.3*0.2,0)*7500*1.4+Revenue!F17+Revenue!F18+Revenue!F19+Revenue!F20-'Cost sheet'!C34-'Cost sheet'!C43*ROUND(Input!C10*0.3,0)</f>
        <v>-554428.28120986838</v>
      </c>
      <c r="F8" s="92">
        <f>ROUND(Input!C10*0.3*0.45,0)*9000+ROUND(Input!C10*0.3*0.3,0)*9000*1.15+ROUND(Input!C10*0.3*0.2,0)*9000*1.4+Revenue!F17+Revenue!F18+Revenue!F19+Revenue!F20-'Cost sheet'!C34-'Cost sheet'!C43*ROUND(Input!C10*0.3,0)</f>
        <v>-505303.28120986838</v>
      </c>
      <c r="G8" s="92">
        <f>ROUND(Input!C10*0.3*0.45,0)*10000+ROUND(Input!C10*0.3*0.3,0)*10000*1.15+ROUND(Input!C10*0.3*0.2,0)*10000*1.4+Revenue!F17+Revenue!F18+Revenue!F19+Revenue!F20-'Cost sheet'!C34-'Cost sheet'!C43*ROUND(Input!C10*0.3,0)</f>
        <v>-472553.28120986838</v>
      </c>
      <c r="H8" s="92">
        <f>ROUND(Input!C10*0.3*0.45,0)*12000+ROUND(Input!C10*0.3*0.3,0)*12000*1.15+ROUND(Input!C10*0.3*0.2,0)*12000*1.4+Revenue!F17+Revenue!F18+Revenue!F19+Revenue!F20-'Cost sheet'!C34-'Cost sheet'!C43*ROUND(Input!C10*0.3,0)</f>
        <v>-407053.28120986838</v>
      </c>
      <c r="I8" s="92">
        <f>ROUND(Input!C10*0.3*0.45,0)*15000+ROUND(Input!C10*0.3*0.3,0)*15000*1.15+ROUND(Input!C10*0.3*0.2,0)*15000*1.4+Revenue!F17+Revenue!F18+Revenue!F19+Revenue!F20-'Cost sheet'!C34-'Cost sheet'!C43*ROUND(Input!C10*0.3,0)</f>
        <v>-308803.28120986838</v>
      </c>
      <c r="J8" s="267">
        <f>ROUND(Input!C10*0.3*0.45,0)*20000+ROUND(Input!C10*0.3*0.3,0)*20000*1.15+ROUND(Input!C10*0.3*0.2,0)*20000*1.4+Revenue!F17+Revenue!F18+Revenue!F19+Revenue!F20-'Cost sheet'!C34-'Cost sheet'!C43*ROUND(Input!C10*0.3,0)</f>
        <v>-145053.28120986838</v>
      </c>
    </row>
    <row r="9" spans="2:10" ht="15" x14ac:dyDescent="0.3">
      <c r="B9" s="266" t="s">
        <v>701</v>
      </c>
      <c r="C9" s="92">
        <f>ROUND(Input!C10*0.4*0.45,0)*5000+ROUND(Input!C10*0.4*0.3,0)*5000*1.15+ROUND(Input!C10*0.4*0.2,0)*5000*1.4+Revenue!F17+Revenue!F18+Revenue!F19+Revenue!F20-'Cost sheet'!C34-'Cost sheet'!C43*ROUND(Input!C10*0.4,0)</f>
        <v>-594053.28120986838</v>
      </c>
      <c r="D9" s="92">
        <f>ROUND(Input!C10*0.4*0.45,0)*6000+ROUND(Input!C10*0.4*0.3,0)*6000*1.15+ROUND(Input!C10*0.4*0.2,0)*6000*1.4+Revenue!F17+Revenue!F18+Revenue!F19+Revenue!F20-'Cost sheet'!C34-'Cost sheet'!C43*ROUND(Input!C10*0.4,0)</f>
        <v>-551053.28120986838</v>
      </c>
      <c r="E9" s="92">
        <f>ROUND(Input!C10*0.4*0.45,0)*7500+ROUND(Input!C10*0.4*0.3,0)*7500*1.15+ROUND(Input!C10*0.4*0.2,0)*7500*1.4+Revenue!F17+Revenue!F18+Revenue!F19+Revenue!F20-'Cost sheet'!C34-'Cost sheet'!C43*ROUND(Input!C10*0.4,0)</f>
        <v>-486553.28120986838</v>
      </c>
      <c r="F9" s="92">
        <f>ROUND(Input!C10*0.4*0.45,0)*9000+ROUND(Input!C10*0.4*0.3,0)*9000*1.15+ROUND(Input!C10*0.4*0.2,0)*9000*1.4+Revenue!F17+Revenue!F18+Revenue!F19+Revenue!F20-'Cost sheet'!C34-'Cost sheet'!C43*ROUND(Input!C10*0.4,0)</f>
        <v>-422053.28120986838</v>
      </c>
      <c r="G9" s="92">
        <f>ROUND(Input!C10*0.4*0.45,0)*10000+ROUND(Input!C10*0.4*0.3,0)*10000*1.15+ROUND(Input!C10*0.4*0.2,0)*10000*1.4+Revenue!F17+Revenue!F18+Revenue!F19+Revenue!F20-'Cost sheet'!C34-'Cost sheet'!C43*ROUND(Input!C10*0.4,0)</f>
        <v>-379053.28120986838</v>
      </c>
      <c r="H9" s="92">
        <f>ROUND(Input!C10*0.4*0.45,0)*12000+ROUND(Input!C10*0.4*0.3,0)*12000*1.15+ROUND(Input!C10*0.4*0.2,0)*12000*1.4+Revenue!F17+Revenue!F18+Revenue!F19+Revenue!F20-'Cost sheet'!C34-'Cost sheet'!C43*ROUND(Input!C10*0.4,0)</f>
        <v>-293053.28120986838</v>
      </c>
      <c r="I9" s="92">
        <f>ROUND(Input!C10*0.4*0.45,0)*15000+ROUND(Input!C10*0.4*0.3,0)*15000*1.15+ROUND(Input!C10*0.4*0.2,0)*15000*1.4+Revenue!F17+Revenue!F18+Revenue!F19+Revenue!F20-'Cost sheet'!C34-'Cost sheet'!C43*ROUND(Input!C10*0.4,0)</f>
        <v>-164053.28120986838</v>
      </c>
      <c r="J9" s="267">
        <f>ROUND(Input!C10*0.4*0.45,0)*20000+ROUND(Input!C10*0.4*0.3,0)*20000*1.15+ROUND(Input!C10*0.4*0.2,0)*20000*1.4+Revenue!F17+Revenue!F18+Revenue!F19+Revenue!F20-'Cost sheet'!C34-'Cost sheet'!C43*ROUND(Input!C10*0.4,0)</f>
        <v>50946.718790131621</v>
      </c>
    </row>
    <row r="10" spans="2:10" ht="15" x14ac:dyDescent="0.3">
      <c r="B10" s="266" t="s">
        <v>702</v>
      </c>
      <c r="C10" s="92">
        <f>ROUND(Input!C10*0.5*0.45,0)*5000+ROUND(Input!C10*0.5*0.3,0)*5000*1.15+ROUND(Input!C10*0.5*0.2,0)*5000*1.4+Revenue!F17+Revenue!F18+Revenue!F19+Revenue!F20-'Cost sheet'!C34-'Cost sheet'!C43*ROUND(Input!C10*0.5,0)</f>
        <v>-546803.28120986838</v>
      </c>
      <c r="D10" s="92">
        <f>ROUND(Input!C10*0.5*0.45,0)*6000+ROUND(Input!C10*0.5*0.3,0)*6000*1.15+ROUND(Input!C10*0.5*0.2,0)*6000*1.4+Revenue!F17+Revenue!F18+Revenue!F19+Revenue!F20-'Cost sheet'!C34-'Cost sheet'!C43*ROUND(Input!C10*0.5,0)</f>
        <v>-492553.28120986838</v>
      </c>
      <c r="E10" s="92">
        <f>ROUND(Input!C10*0.5*0.45,0)*7500+ROUND(Input!C10*0.5*0.3,0)*7500*1.15+ROUND(Input!C10*0.5*0.2,0)*7500*1.4+Revenue!F17+Revenue!F18+Revenue!F19+Revenue!F20-'Cost sheet'!C34-'Cost sheet'!C43*ROUND(Input!C10*0.5,0)</f>
        <v>-411178.28120986838</v>
      </c>
      <c r="F10" s="92">
        <f>ROUND(Input!C10*0.5*0.45,0)*9000+ROUND(Input!C10*0.5*0.3,0)*9000*1.15+ROUND(Input!C10*0.5*0.2,0)*9000*1.4+Revenue!F17+Revenue!F18+Revenue!F19+Revenue!F20-'Cost sheet'!C34-'Cost sheet'!C43*ROUND(Input!C10*0.5,0)</f>
        <v>-329803.28120986838</v>
      </c>
      <c r="G10" s="92">
        <f>ROUND(Input!C10*0.5*0.45,0)*10000+ROUND(Input!C10*0.5*0.3,0)*10000*1.15+ROUND(Input!C10*0.5*0.2,0)*10000*1.4+Revenue!F17+Revenue!F18+Revenue!F19+Revenue!F20-'Cost sheet'!C34-'Cost sheet'!C43*ROUND(Input!C10*0.5,0)</f>
        <v>-275553.28120986838</v>
      </c>
      <c r="H10" s="92">
        <f>ROUND(Input!C10*0.5*0.45,0)*12000+ROUND(Input!C10*0.5*0.3,0)*12000*1.15+ROUND(Input!C10*0.5*0.2,0)*12000*1.4+Revenue!F17+Revenue!F18+Revenue!F19+Revenue!F20-'Cost sheet'!C34-'Cost sheet'!C43*ROUND(Input!C10*0.5,0)</f>
        <v>-167053.28120986838</v>
      </c>
      <c r="I10" s="92">
        <f>ROUND(Input!C10*0.5*0.45,0)*15000+ROUND(Input!C10*0.5*0.3,0)*15000*1.15+ROUND(Input!C10*0.5*0.2,0)*15000*1.4+Revenue!F17+Revenue!F18+Revenue!F19+Revenue!F20-'Cost sheet'!C34-'Cost sheet'!C43*ROUND(Input!C10*0.5,0)</f>
        <v>-4303.2812098683789</v>
      </c>
      <c r="J10" s="267">
        <f>ROUND(Input!C10*0.5*0.45,0)*20000+ROUND(Input!C10*0.5*0.3,0)*20000*1.15+ROUND(Input!C10*0.5*0.2,0)*20000*1.4+Revenue!F17+Revenue!F18+Revenue!F19+Revenue!F20-'Cost sheet'!C34-'Cost sheet'!C43*ROUND(Input!C10*0.5,0)</f>
        <v>266946.71879013162</v>
      </c>
    </row>
    <row r="11" spans="2:10" ht="15" x14ac:dyDescent="0.3">
      <c r="B11" s="266" t="s">
        <v>703</v>
      </c>
      <c r="C11" s="92">
        <f>ROUND(Input!C10*0.6*0.45,0)*5000+ROUND(Input!C10*0.6*0.3,0)*5000*1.15+ROUND(Input!C10*0.6*0.2,0)*5000*1.4+Revenue!F17+Revenue!F18+Revenue!F19+Revenue!F20-'Cost sheet'!C34-'Cost sheet'!C43*ROUND(Input!C10*0.6,0)</f>
        <v>-504553.28120986838</v>
      </c>
      <c r="D11" s="92">
        <f>ROUND(Input!C10*0.6*0.45,0)*6000+ROUND(Input!C10*0.6*0.3,0)*6000*1.15+ROUND(Input!C10*0.6*0.2,0)*6000*1.4+Revenue!F17+Revenue!F18+Revenue!F19+Revenue!F20-'Cost sheet'!C34-'Cost sheet'!C43*ROUND(Input!C10*0.6,0)</f>
        <v>-440053.28120986838</v>
      </c>
      <c r="E11" s="92">
        <f>ROUND(Input!C10*0.6*0.45,0)*7500+ROUND(Input!C10*0.6*0.3,0)*7500*1.15+ROUND(Input!C10*0.6*0.2,0)*7500*1.4+Revenue!F17+Revenue!F18+Revenue!F19+Revenue!F20-'Cost sheet'!C34-'Cost sheet'!C43*ROUND(Input!C10*0.6,0)</f>
        <v>-343303.28120986838</v>
      </c>
      <c r="F11" s="92">
        <f>ROUND(Input!C10*0.6*0.45,0)*9000+ROUND(Input!C10*0.6*0.3,0)*9000*1.15+ROUND(Input!C10*0.6*0.2,0)*9000*1.4+Revenue!F17+Revenue!F18+Revenue!F19+Revenue!F20-'Cost sheet'!C34-'Cost sheet'!C43*ROUND(Input!C10*0.6,0)</f>
        <v>-246553.28120986838</v>
      </c>
      <c r="G11" s="92">
        <f>ROUND(Input!C10*0.6*0.45,0)*10000+ROUND(Input!C10*0.6*0.3,0)*10000*1.15+ROUND(Input!C10*0.6*0.2,0)*10000*1.4+Revenue!F17+Revenue!F18+Revenue!F19+Revenue!F20-'Cost sheet'!C34-'Cost sheet'!C43*ROUND(Input!C10*0.6,0)</f>
        <v>-182053.28120986838</v>
      </c>
      <c r="H11" s="92">
        <f>ROUND(Input!C10*0.6*0.45,0)*12000+ROUND(Input!C10*0.6*0.3,0)*12000*1.15+ROUND(Input!C10*0.6*0.2,0)*12000*1.4+Revenue!F17+Revenue!F18+Revenue!F19+Revenue!F20-'Cost sheet'!C34-'Cost sheet'!C43*ROUND(Input!C10*0.6,0)</f>
        <v>-53053.281209868379</v>
      </c>
      <c r="I11" s="92">
        <f>ROUND(Input!C10*0.6*0.45,0)*15000+ROUND(Input!C10*0.6*0.3,0)*15000*1.15+ROUND(Input!C10*0.6*0.2,0)*15000*1.4+Revenue!F17+Revenue!F18+Revenue!F19+Revenue!F20-'Cost sheet'!C34-'Cost sheet'!C43*ROUND(Input!C10*0.6,0)</f>
        <v>140446.71879013162</v>
      </c>
      <c r="J11" s="267">
        <f>ROUND(Input!C10*0.6*0.45,0)*20000+ROUND(Input!C10*0.6*0.3,0)*20000*1.15+ROUND(Input!C10*0.6*0.2,0)*20000*1.4+Revenue!F17+Revenue!F18+Revenue!F19+Revenue!F20-'Cost sheet'!C34-'Cost sheet'!C43*ROUND(Input!C10*0.6,0)</f>
        <v>462946.71879013162</v>
      </c>
    </row>
    <row r="12" spans="2:10" ht="15" x14ac:dyDescent="0.3">
      <c r="B12" s="266" t="s">
        <v>704</v>
      </c>
      <c r="C12" s="92">
        <f>ROUND(Input!C10*0.7*0.45,0)*5000+ROUND(Input!C10*0.7*0.3,0)*5000*1.15+ROUND(Input!C10*0.7*0.2,0)*5000*1.4+Revenue!F17+Revenue!F18+Revenue!F19+Revenue!F20-'Cost sheet'!C34-'Cost sheet'!C43*ROUND(Input!C10*0.7,0)</f>
        <v>-457303.28120986838</v>
      </c>
      <c r="D12" s="92">
        <f>ROUND(Input!C10*0.7*0.45,0)*6000+ROUND(Input!C10*0.7*0.3,0)*6000*1.15+ROUND(Input!C10*0.7*0.2,0)*6000*1.4+Revenue!F17+Revenue!F18+Revenue!F19+Revenue!F20-'Cost sheet'!C34-'Cost sheet'!C43*ROUND(Input!C10*0.7,0)</f>
        <v>-381553.28120986838</v>
      </c>
      <c r="E12" s="92">
        <f>ROUND(Input!C10*0.7*0.45,0)*7500+ROUND(Input!C10*0.7*0.3,0)*7500*1.15+ROUND(Input!C10*0.7*0.2,0)*7500*1.4+Revenue!F17+Revenue!F18+Revenue!F19+Revenue!F20-'Cost sheet'!C34-'Cost sheet'!C43*ROUND(Input!C10*0.7,0)</f>
        <v>-267928.28120986838</v>
      </c>
      <c r="F12" s="92">
        <f>ROUND(Input!C10*0.7*0.45,0)*9000+ROUND(Input!C10*0.7*0.3,0)*9000*1.15+ROUND(Input!C10*0.7*0.2,0)*9000*1.4+Revenue!F17+Revenue!F18+Revenue!F19+Revenue!F20-'Cost sheet'!C34-'Cost sheet'!C43*ROUND(Input!C10*0.7,0)</f>
        <v>-154303.28120986838</v>
      </c>
      <c r="G12" s="92">
        <f>ROUND(Input!C10*0.7*0.45,0)*10000+ROUND(Input!C10*0.7*0.3,0)*10000*1.15+ROUND(Input!C10*0.7*0.2,0)*10000*1.4+Revenue!F17+Revenue!F18+Revenue!F19+Revenue!F20-'Cost sheet'!C34-'Cost sheet'!C43*ROUND(Input!C10*0.7,0)</f>
        <v>-78553.281209868379</v>
      </c>
      <c r="H12" s="92">
        <f>ROUND(Input!C10*0.7*0.45,0)*12000+ROUND(Input!C10*0.7*0.3,0)*12000*1.15+ROUND(Input!C10*0.7*0.2,0)*12000*1.4+Revenue!F17+Revenue!F18+Revenue!F19+Revenue!F20-'Cost sheet'!C34-'Cost sheet'!C43*ROUND(Input!C10*0.7,0)</f>
        <v>72946.718790131621</v>
      </c>
      <c r="I12" s="92">
        <f>ROUND(Input!C10*0.7*0.45,0)*15000+ROUND(Input!C10*0.7*0.3,0)*15000*1.15+ROUND(Input!C10*0.7*0.2,0)*15000*1.4+Revenue!F17+Revenue!F18+Revenue!F19+Revenue!F20-'Cost sheet'!C34-'Cost sheet'!C43*ROUND(Input!C10*0.7,0)</f>
        <v>300196.71879013162</v>
      </c>
      <c r="J12" s="267">
        <f>ROUND(Input!C10*0.7*0.45,0)*20000+ROUND(Input!C10*0.7*0.3,0)*20000*1.15+ROUND(Input!C10*0.7*0.2,0)*20000*1.4+Revenue!F17+Revenue!F18+Revenue!F19+Revenue!F20-'Cost sheet'!C34-'Cost sheet'!C43*ROUND(Input!C10*0.7,0)</f>
        <v>678946.71879013162</v>
      </c>
    </row>
    <row r="13" spans="2:10" ht="15.6" x14ac:dyDescent="0.3">
      <c r="B13" s="313" t="s">
        <v>705</v>
      </c>
      <c r="C13" s="92">
        <f>ROUND(Input!C10*0.8*0.45,0)*5000+ROUND(Input!C10*0.8*0.3,0)*5000*1.15+ROUND(Input!C10*0.8*0.2,0)*5000*1.4+Revenue!F17+Revenue!F18+Revenue!F19+Revenue!F20-'Cost sheet'!C34-'Cost sheet'!C43*ROUND(Input!C10*0.8,0)</f>
        <v>-415053.28120986838</v>
      </c>
      <c r="D13" s="92">
        <f>ROUND(Input!C10*0.8*0.45,0)*6000+ROUND(Input!C10*0.8*0.3,0)*6000*1.15+ROUND(Input!C10*0.8*0.2,0)*6000*1.4+Revenue!F17+Revenue!F18+Revenue!F19+Revenue!F20-'Cost sheet'!C34-'Cost sheet'!C43*ROUND(Input!C10*0.8,0)</f>
        <v>-329053.28120986838</v>
      </c>
      <c r="E13" s="223">
        <f>ROUND(Input!C10*0.8*0.45,0)*7500+ROUND(Input!C10*0.8*0.3,0)*7500*1.15+ROUND(Input!C10*0.8*0.2,0)*7500*1.4+Revenue!F17+Revenue!F18+Revenue!F19+Revenue!F20-'Cost sheet'!C34-'Cost sheet'!C43*ROUND(Input!C10*0.8,0)</f>
        <v>-200053.28120986838</v>
      </c>
      <c r="F13" s="92">
        <f>ROUND(Input!C10*0.8*0.45,0)*9000+ROUND(Input!C10*0.8*0.3,0)*9000*1.15+ROUND(Input!C10*0.8*0.2,0)*9000*1.4+Revenue!F17+Revenue!F18+Revenue!F19+Revenue!F20-'Cost sheet'!C34-'Cost sheet'!C43*ROUND(Input!C10*0.8,0)</f>
        <v>-71053.281209868379</v>
      </c>
      <c r="G13" s="92">
        <f>ROUND(Input!C10*0.8*0.45,0)*10000+ROUND(Input!C10*0.8*0.3,0)*10000*1.15+ROUND(Input!C10*0.8*0.2,0)*10000*1.4+Revenue!F17+Revenue!F18+Revenue!F19+Revenue!F20-'Cost sheet'!C34-'Cost sheet'!C43*ROUND(Input!C10*0.8,0)</f>
        <v>14946.718790131621</v>
      </c>
      <c r="H13" s="92">
        <f>ROUND(Input!C10*0.8*0.45,0)*12000+ROUND(Input!C10*0.8*0.3,0)*12000*1.15+ROUND(Input!C10*0.8*0.2,0)*12000*1.4+Revenue!F17+Revenue!F18+Revenue!F19+Revenue!F20-'Cost sheet'!C34-'Cost sheet'!C43*ROUND(Input!C10*0.8,0)</f>
        <v>186946.71879013162</v>
      </c>
      <c r="I13" s="92">
        <f>ROUND(Input!C10*0.8*0.45,0)*15000+ROUND(Input!C10*0.8*0.3,0)*15000*1.15+ROUND(Input!C10*0.8*0.2,0)*15000*1.4+Revenue!F17+Revenue!F18+Revenue!F19+Revenue!F20-'Cost sheet'!C34-'Cost sheet'!C43*ROUND(Input!C10*0.8,0)</f>
        <v>444946.71879013162</v>
      </c>
      <c r="J13" s="267">
        <f>ROUND(Input!C10*0.8*0.45,0)*20000+ROUND(Input!C10*0.8*0.3,0)*20000*1.15+ROUND(Input!C10*0.8*0.2,0)*20000*1.4+Revenue!F17+Revenue!F18+Revenue!F19+Revenue!F20-'Cost sheet'!C34-'Cost sheet'!C43*ROUND(Input!C10*0.8,0)</f>
        <v>874946.71879013162</v>
      </c>
    </row>
    <row r="14" spans="2:10" ht="15" x14ac:dyDescent="0.3">
      <c r="B14" s="266" t="s">
        <v>706</v>
      </c>
      <c r="C14" s="92">
        <f>ROUND(Input!C10*0.9*0.45,0)*5000+ROUND(Input!C10*0.9*0.3,0)*5000*1.15+ROUND(Input!C10*0.9*0.2,0)*5000*1.4+Revenue!F17+Revenue!F18+Revenue!F19+Revenue!F20-'Cost sheet'!C34-'Cost sheet'!C43*ROUND(Input!C10*0.9,0)</f>
        <v>-367803.28120986838</v>
      </c>
      <c r="D14" s="92">
        <f>ROUND(Input!C10*0.9*0.45,0)*6000+ROUND(Input!C10*0.9*0.3,0)*6000*1.15+ROUND(Input!C10*0.9*0.2,0)*6000*1.4+Revenue!F17+Revenue!F18+Revenue!F19+Revenue!F20-'Cost sheet'!C34-'Cost sheet'!C43*ROUND(Input!C10*0.9,0)</f>
        <v>-270553.28120986838</v>
      </c>
      <c r="E14" s="92">
        <f>ROUND(Input!C10*0.9*0.45,0)*7500+ROUND(Input!C10*0.9*0.3,0)*7500*1.15+ROUND(Input!C10*0.9*0.2,0)*7500*1.4+Revenue!F17+Revenue!F18+Revenue!F19+Revenue!F20-'Cost sheet'!C34-'Cost sheet'!C43*ROUND(Input!C10*0.9,0)</f>
        <v>-124678.28120986838</v>
      </c>
      <c r="F14" s="92">
        <f>ROUND(Input!C10*0.9*0.45,0)*9000+ROUND(Input!C10*0.9*0.3,0)*9000*1.15+ROUND(Input!C10*0.9*0.2,0)*9000*1.4+Revenue!F17+Revenue!F18+Revenue!F19+Revenue!F20-'Cost sheet'!C34-'Cost sheet'!C43*ROUND(Input!C10*0.9,0)</f>
        <v>21196.718790131621</v>
      </c>
      <c r="G14" s="92">
        <f>ROUND(Input!C10*0.9*0.45,0)*10000+ROUND(Input!C10*0.9*0.3,0)*10000*1.15+ROUND(Input!C10*0.9*0.2,0)*10000*1.4+Revenue!F17+Revenue!F18+Revenue!F19+Revenue!F20-'Cost sheet'!C34-'Cost sheet'!C43*ROUND(Input!C10*0.9,0)</f>
        <v>118446.71879013162</v>
      </c>
      <c r="H14" s="92">
        <f>ROUND(Input!C10*0.9*0.45,0)*12000+ROUND(Input!C10*0.9*0.3,0)*12000*1.15+ROUND(Input!C10*0.9*0.2,0)*12000*1.4+Revenue!F17+Revenue!F18+Revenue!F19+Revenue!F20-'Cost sheet'!C34-'Cost sheet'!C43*ROUND(Input!C10*0.9,0)</f>
        <v>312946.71879013162</v>
      </c>
      <c r="I14" s="92">
        <f>ROUND(Input!C10*0.9*0.45,0)*15000+ROUND(Input!C10*0.9*0.3,0)*15000*1.15+ROUND(Input!C10*0.9*0.2,0)*15000*1.4+Revenue!F17+Revenue!F18+Revenue!F19+Revenue!F20-'Cost sheet'!C34-'Cost sheet'!C43*ROUND(Input!C10*0.9,0)</f>
        <v>604696.71879013162</v>
      </c>
      <c r="J14" s="267">
        <f>ROUND(Input!C10*0.9*0.45,0)*20000+ROUND(Input!C10*0.9*0.3,0)*20000*1.15+ROUND(Input!C10*0.9*0.2,0)*20000*1.4+Revenue!F17+Revenue!F18+Revenue!F19+Revenue!F20-'Cost sheet'!C34-'Cost sheet'!C43*ROUND(Input!C10*0.9,0)</f>
        <v>1090946.7187901316</v>
      </c>
    </row>
    <row r="15" spans="2:10" ht="15.6" thickBot="1" x14ac:dyDescent="0.35">
      <c r="B15" s="314" t="s">
        <v>707</v>
      </c>
      <c r="C15" s="106">
        <f>ROUND(Input!C10*1*0.45,0)*5000+ROUND(Input!C10*1*0.3,0)*5000*1.15+ROUND(Input!C10*1*0.2,0)*5000*1.4+Revenue!F17+Revenue!F18+Revenue!F19+Revenue!F20-'Cost sheet'!C34-'Cost sheet'!C43*ROUND(Input!C10*1,0)</f>
        <v>-325553.28120986838</v>
      </c>
      <c r="D15" s="106">
        <f>ROUND(Input!C10*1*0.45,0)*6000+ROUND(Input!C10*1*0.3,0)*6000*1.15+ROUND(Input!C10*1*0.2,0)*6000*1.4+Revenue!F17+Revenue!F18+Revenue!F19+Revenue!F20-'Cost sheet'!C34-'Cost sheet'!C43*ROUND(Input!C10*1,0)</f>
        <v>-218053.28120986838</v>
      </c>
      <c r="E15" s="106">
        <f>ROUND(Input!C10*1*0.45,0)*7500+ROUND(Input!C10*1*0.3,0)*7500*1.15+ROUND(Input!C10*1*0.2,0)*7500*1.4+Revenue!F17+Revenue!F18+Revenue!F19+Revenue!F20-'Cost sheet'!C34-'Cost sheet'!C43*ROUND(Input!C10*1,0)</f>
        <v>-56803.281209868379</v>
      </c>
      <c r="F15" s="106">
        <f>ROUND(Input!C10*1*0.45,0)*9000+ROUND(Input!C10*1*0.3,0)*9000*1.15+ROUND(Input!C10*1*0.2,0)*9000*1.4+Revenue!F17+Revenue!F18+Revenue!F19+Revenue!F20-'Cost sheet'!C34-'Cost sheet'!C43*ROUND(Input!C10*1,0)</f>
        <v>104446.71879013162</v>
      </c>
      <c r="G15" s="106">
        <f>ROUND(Input!C10*1*0.45,0)*10000+ROUND(Input!C10*1*0.3,0)*10000*1.15+ROUND(Input!C10*1*0.2,0)*10000*1.4+Revenue!F17+Revenue!F18+Revenue!F19+Revenue!F20-'Cost sheet'!C34-'Cost sheet'!C43*ROUND(Input!C10*1,0)</f>
        <v>211946.71879013162</v>
      </c>
      <c r="H15" s="106">
        <f>ROUND(Input!C10*1*0.45,0)*12000+ROUND(Input!C10*1*0.3,0)*12000*1.15+ROUND(Input!C10*1*0.2,0)*12000*1.4+Revenue!F17+Revenue!F18+Revenue!F19+Revenue!F20-'Cost sheet'!C34-'Cost sheet'!C43*ROUND(Input!C10*1,0)</f>
        <v>426946.71879013162</v>
      </c>
      <c r="I15" s="106">
        <f>ROUND(Input!C10*1*0.45,0)*15000+ROUND(Input!C10*1*0.3,0)*15000*1.15+ROUND(Input!C10*1*0.2,0)*15000*1.4+Revenue!F17+Revenue!F18+Revenue!F19+Revenue!F20-'Cost sheet'!C34-'Cost sheet'!C43*ROUND(Input!C10*1,0)</f>
        <v>749446.71879013162</v>
      </c>
      <c r="J15" s="315">
        <f>ROUND(Input!C10*1*0.45,0)*20000+ROUND(Input!C10*1*0.3,0)*20000*1.15+ROUND(Input!C10*1*0.2,0)*20000*1.4+Revenue!F17+Revenue!F18+Revenue!F19+Revenue!F20-'Cost sheet'!C34-'Cost sheet'!C43*ROUND(Input!C10*1,0)</f>
        <v>1286946.7187901316</v>
      </c>
    </row>
    <row r="16" spans="2:10" ht="15" thickBot="1" x14ac:dyDescent="0.35">
      <c r="B16" s="282"/>
      <c r="C16" s="282"/>
      <c r="D16" s="282"/>
      <c r="E16" s="282"/>
      <c r="F16" s="282"/>
      <c r="G16" s="282"/>
      <c r="H16" s="282"/>
      <c r="I16" s="282"/>
      <c r="J16" s="282"/>
    </row>
    <row r="17" spans="2:10" ht="17.399999999999999" x14ac:dyDescent="0.3">
      <c r="B17" s="488" t="s">
        <v>967</v>
      </c>
      <c r="C17" s="489"/>
      <c r="D17" s="489"/>
      <c r="E17" s="489"/>
      <c r="F17" s="489"/>
      <c r="G17" s="489"/>
      <c r="H17" s="489"/>
      <c r="I17" s="489"/>
      <c r="J17" s="490"/>
    </row>
    <row r="18" spans="2:10" ht="15.6" x14ac:dyDescent="0.3">
      <c r="B18" s="103" t="s">
        <v>708</v>
      </c>
      <c r="C18" s="91" t="s">
        <v>703</v>
      </c>
      <c r="D18" s="91" t="s">
        <v>704</v>
      </c>
      <c r="E18" s="91" t="s">
        <v>705</v>
      </c>
      <c r="F18" s="91" t="s">
        <v>706</v>
      </c>
      <c r="G18" s="91" t="s">
        <v>707</v>
      </c>
      <c r="H18" s="91" t="s">
        <v>709</v>
      </c>
      <c r="I18" s="91" t="s">
        <v>710</v>
      </c>
      <c r="J18" s="104" t="s">
        <v>711</v>
      </c>
    </row>
    <row r="19" spans="2:10" ht="15" x14ac:dyDescent="0.3">
      <c r="B19" s="266" t="s">
        <v>699</v>
      </c>
      <c r="C19" s="92">
        <f>ROUND(Input!C10*0.2*0.45,0)*Input!C14+ROUND(Input!C10*0.2*0.3,0)*Input!C14*1.15+ROUND(Input!C10*0.2*0.2,0)*Input!C14*1.4+Revenue!F17+Revenue!F18+Revenue!F19+Revenue!F20-'Cost sheet'!C34*0.6-'Cost sheet'!C43*ROUND(Input!C10*0.2,0)</f>
        <v>-205381.968725921</v>
      </c>
      <c r="D19" s="92">
        <f>ROUND(Input!C10*0.2*0.45,0)*Input!C14+ROUND(Input!C10*0.2*0.3,0)*Input!C14*1.15+ROUND(Input!C10*0.2*0.2,0)*Input!C14*1.4+Revenue!F17+Revenue!F18+Revenue!F19+Revenue!F20-'Cost sheet'!C34*0.7-'Cost sheet'!C43*ROUND(Input!C10*0.2,0)</f>
        <v>-311487.29684690782</v>
      </c>
      <c r="E19" s="92">
        <f>ROUND(Input!C10*0.2*0.45,0)*Input!C14+ROUND(Input!C10*0.2*0.3,0)*Input!C14*1.15+ROUND(Input!C10*0.2*0.2,0)*Input!C14*1.4+Revenue!F17+Revenue!F18+Revenue!F19+Revenue!F20-'Cost sheet'!C34*0.8-'Cost sheet'!C43*ROUND(Input!C10*0.2,0)</f>
        <v>-417592.62496789475</v>
      </c>
      <c r="F19" s="92">
        <f>ROUND(Input!C10*0.2*0.45,0)*Input!C14+ROUND(Input!C10*0.2*0.3,0)*Input!C14*1.15+ROUND(Input!C10*0.2*0.2,0)*Input!C14*1.4+Revenue!F17+Revenue!F18+Revenue!F19+Revenue!F20-'Cost sheet'!C34*0.9-'Cost sheet'!C43*ROUND(Input!C10*0.2,0)</f>
        <v>-523697.95308888156</v>
      </c>
      <c r="G19" s="92">
        <f>ROUND(Input!C10*0.2*0.45,0)*Input!C14+ROUND(Input!C10*0.2*0.3,0)*Input!C14*1.15+ROUND(Input!C10*0.2*0.2,0)*Input!C14*1.4+Revenue!F17+Revenue!F18+Revenue!F19+Revenue!F20-'Cost sheet'!C34*1-'Cost sheet'!C43*ROUND(Input!C10*0.2,0)</f>
        <v>-629803.28120986838</v>
      </c>
      <c r="H19" s="92">
        <f>ROUND(Input!C10*0.2*0.45,0)*Input!C14+ROUND(Input!C10*0.2*0.3,0)*Input!C14*1.15+ROUND(Input!C10*0.2*0.2,0)*Input!C14*1.4+Revenue!F17+Revenue!F18+Revenue!F19+Revenue!F20-'Cost sheet'!C34*1.1-'Cost sheet'!C43*ROUND(Input!C10*0.2,0)</f>
        <v>-735908.60933085531</v>
      </c>
      <c r="I19" s="92">
        <f>ROUND(Input!C10*0.2*0.45,0)*Input!C14+ROUND(Input!C10*0.2*0.3,0)*Input!C14*1.15+ROUND(Input!C10*0.2*0.2,0)*Input!C14*1.4+Revenue!F17+Revenue!F18+Revenue!F19+Revenue!F20-'Cost sheet'!C34*1.2-'Cost sheet'!C43*ROUND(Input!C10*0.2,0)</f>
        <v>-842013.93745184201</v>
      </c>
      <c r="J19" s="267">
        <f>ROUND(Input!C10*0.2*0.45,0)*Input!C14+ROUND(Input!C10*0.2*0.3,0)*Input!C14*1.15+ROUND(Input!C10*0.2*0.2,0)*Input!C14*1.4+Revenue!F17+Revenue!F18+Revenue!F19+Revenue!F20-'Cost sheet'!C34*1.3-'Cost sheet'!C43*ROUND(Input!C10*0.2,0)</f>
        <v>-948119.26557282894</v>
      </c>
    </row>
    <row r="20" spans="2:10" ht="15" x14ac:dyDescent="0.3">
      <c r="B20" s="266" t="s">
        <v>700</v>
      </c>
      <c r="C20" s="92">
        <f>ROUND(Input!C10*0.3*0.45,0)*Input!C14+ROUND(Input!C10*0.3*0.3,0)*Input!C14*1.15+ROUND(Input!C10*0.3*0.2,0)*Input!C14*1.4+Revenue!F17+Revenue!F18+Revenue!F19+Revenue!F20-'Cost sheet'!C34*0.6-'Cost sheet'!C43*ROUND(Input!C10*0.3,0)</f>
        <v>-130006.968725921</v>
      </c>
      <c r="D20" s="92">
        <f>ROUND(Input!C10*0.3*0.45,0)*Input!C14+ROUND(Input!C10*0.3*0.3,0)*Input!C14*1.15+ROUND(Input!C10*0.3*0.2,0)*Input!C14*1.4+Revenue!F17+Revenue!F18+Revenue!F19+Revenue!F20-'Cost sheet'!C34*0.7-'Cost sheet'!C43*ROUND(Input!C10*0.3,0)</f>
        <v>-236112.29684690782</v>
      </c>
      <c r="E20" s="92">
        <f>ROUND(Input!C10*0.3*0.45,0)*Input!C14+ROUND(Input!C10*0.3*0.3,0)*Input!C14*1.15+ROUND(Input!C10*0.3*0.2,0)*Input!C14*1.4+Revenue!F17+Revenue!F18+Revenue!F19+Revenue!F20-'Cost sheet'!C34*0.8-'Cost sheet'!C43*ROUND(Input!C10*0.3,0)</f>
        <v>-342217.62496789475</v>
      </c>
      <c r="F20" s="92">
        <f>ROUND(Input!C10*0.3*0.45,0)*Input!C14+ROUND(Input!C10*0.3*0.3,0)*Input!C14*1.15+ROUND(Input!C10*0.3*0.2,0)*Input!C14*1.4+Revenue!F17+Revenue!F18+Revenue!F19+Revenue!F20-'Cost sheet'!C34*0.9-'Cost sheet'!C43*ROUND(Input!C10*0.3,0)</f>
        <v>-448322.95308888156</v>
      </c>
      <c r="G20" s="92">
        <f>ROUND(Input!C10*0.3*0.45,0)*Input!C14+ROUND(Input!C10*0.3*0.3,0)*Input!C14*1.15+ROUND(Input!C10*0.3*0.2,0)*Input!C14*1.4+Revenue!F17+Revenue!F18+Revenue!F19+Revenue!F20-'Cost sheet'!C34*1-'Cost sheet'!C43*ROUND(Input!C10*0.3,0)</f>
        <v>-554428.28120986838</v>
      </c>
      <c r="H20" s="92">
        <f>ROUND(Input!C10*0.3*0.45,0)*Input!C14+ROUND(Input!C10*0.3*0.3,0)*Input!C14*1.15+ROUND(Input!C10*0.3*0.2,0)*Input!C14*1.4+Revenue!F17+Revenue!F18+Revenue!F19+Revenue!F20-'Cost sheet'!C34*1.1-'Cost sheet'!C43*ROUND(Input!C10*0.3,0)</f>
        <v>-660533.60933085531</v>
      </c>
      <c r="I20" s="92">
        <f>ROUND(Input!C10*0.3*0.45,0)*Input!C14+ROUND(Input!C10*0.3*0.3,0)*Input!C14*1.15+ROUND(Input!C10*0.3*0.2,0)*Input!C14*1.4+Revenue!F17+Revenue!F18+Revenue!F19+Revenue!F20-'Cost sheet'!C34*1.2-'Cost sheet'!C43*ROUND(Input!C10*0.3,0)</f>
        <v>-766638.93745184201</v>
      </c>
      <c r="J20" s="267">
        <f>ROUND(Input!C10*0.3*0.45,0)*Input!C14+ROUND(Input!C10*0.3*0.3,0)*Input!C14*1.15+ROUND(Input!C10*0.3*0.2,0)*Input!C14*1.4+Revenue!F17+Revenue!F18+Revenue!F19+Revenue!F20-'Cost sheet'!C34*1.3-'Cost sheet'!C43*ROUND(Input!C10*0.3,0)</f>
        <v>-872744.26557282894</v>
      </c>
    </row>
    <row r="21" spans="2:10" ht="15" x14ac:dyDescent="0.3">
      <c r="B21" s="266" t="s">
        <v>701</v>
      </c>
      <c r="C21" s="92">
        <f>ROUND(Input!C10*0.4*0.45,0)*Input!C14+ROUND(Input!C10*0.4*0.3,0)*Input!C14*1.15+ROUND(Input!C10*0.4*0.2,0)*Input!C14*1.4+Revenue!F17+Revenue!F18+Revenue!F19+Revenue!F20-'Cost sheet'!C34*0.6-'Cost sheet'!C43*ROUND(Input!C10*0.4,0)</f>
        <v>-62131.968725921004</v>
      </c>
      <c r="D21" s="92">
        <f>ROUND(Input!C10*0.4*0.45,0)*Input!C14+ROUND(Input!C10*0.4*0.3,0)*Input!C14*1.15+ROUND(Input!C10*0.4*0.2,0)*Input!C14*1.4+Revenue!F17+Revenue!F18+Revenue!F19+Revenue!F20-'Cost sheet'!C34*0.7-'Cost sheet'!C43*ROUND(Input!C10*0.4,0)</f>
        <v>-168237.29684690782</v>
      </c>
      <c r="E21" s="92">
        <f>ROUND(Input!C10*0.4*0.45,0)*Input!C14+ROUND(Input!C10*0.4*0.3,0)*Input!C14*1.15+ROUND(Input!C10*0.4*0.2,0)*Input!C14*1.4+Revenue!F17+Revenue!F18+Revenue!F19+Revenue!F20-'Cost sheet'!C34*0.8-'Cost sheet'!C43*ROUND(Input!C10*0.4,0)</f>
        <v>-274342.62496789475</v>
      </c>
      <c r="F21" s="92">
        <f>ROUND(Input!C10*0.4*0.45,0)*Input!C14+ROUND(Input!C10*0.4*0.3,0)*Input!C14*1.15+ROUND(Input!C10*0.4*0.2,0)*Input!C14*1.4+Revenue!F17+Revenue!F18+Revenue!F19+Revenue!F20-'Cost sheet'!C34*0.9-'Cost sheet'!C43*ROUND(Input!C10*0.4,0)</f>
        <v>-380447.95308888156</v>
      </c>
      <c r="G21" s="92">
        <f>ROUND(Input!C10*0.4*0.45,0)*Input!C14+ROUND(Input!C10*0.4*0.3,0)*Input!C14*1.15+ROUND(Input!C10*0.4*0.2,0)*Input!C14*1.4+Revenue!F17+Revenue!F18+Revenue!F19+Revenue!F20-'Cost sheet'!C34*1-'Cost sheet'!C43*ROUND(Input!C10*0.4,0)</f>
        <v>-486553.28120986838</v>
      </c>
      <c r="H21" s="92">
        <f>ROUND(Input!C10*0.4*0.45,0)*Input!C14+ROUND(Input!C10*0.4*0.3,0)*Input!C14*1.15+ROUND(Input!C10*0.4*0.2,0)*Input!C14*1.4+Revenue!F17+Revenue!F18+Revenue!F19+Revenue!F20-'Cost sheet'!C34*1.1-'Cost sheet'!C43*ROUND(Input!C10*0.4,0)</f>
        <v>-592658.60933085531</v>
      </c>
      <c r="I21" s="92">
        <f>ROUND(Input!C10*0.4*0.45,0)*Input!C14+ROUND(Input!C10*0.4*0.3,0)*Input!C14*1.15+ROUND(Input!C10*0.4*0.2,0)*Input!C14*1.4+Revenue!F17+Revenue!F18+Revenue!F19+Revenue!F20-'Cost sheet'!C34*1.2-'Cost sheet'!C43*ROUND(Input!C10*0.4,0)</f>
        <v>-698763.93745184201</v>
      </c>
      <c r="J21" s="267">
        <f>ROUND(Input!C10*0.4*0.45,0)*Input!C14+ROUND(Input!C10*0.4*0.3,0)*Input!C14*1.15+ROUND(Input!C10*0.4*0.2,0)*Input!C14*1.4+Revenue!F17+Revenue!F18+Revenue!F19+Revenue!F20-'Cost sheet'!C34*1.3-'Cost sheet'!C43*ROUND(Input!C10*0.4,0)</f>
        <v>-804869.26557282894</v>
      </c>
    </row>
    <row r="22" spans="2:10" ht="15" x14ac:dyDescent="0.3">
      <c r="B22" s="266" t="s">
        <v>702</v>
      </c>
      <c r="C22" s="92">
        <f>ROUND(Input!C10*0.5*0.45,0)*Input!C14+ROUND(Input!C10*0.5*0.3,0)*Input!C14*1.15+ROUND(Input!C10*0.5*0.2,0)*Input!C14*1.4+Revenue!F17+Revenue!F18+Revenue!F19+Revenue!F20-'Cost sheet'!C34*0.6-'Cost sheet'!C43*ROUND(Input!C10*0.5,0)</f>
        <v>13243.031274078996</v>
      </c>
      <c r="D22" s="92">
        <f>ROUND(Input!C10*0.5*0.45,0)*Input!C14+ROUND(Input!C10*0.5*0.3,0)*Input!C14*1.15+ROUND(Input!C10*0.5*0.2,0)*Input!C14*1.4+Revenue!F17+Revenue!F18+Revenue!F19+Revenue!F20-'Cost sheet'!C34*0.7-'Cost sheet'!C43*ROUND(Input!C10*0.5,0)</f>
        <v>-92862.296846907819</v>
      </c>
      <c r="E22" s="92">
        <f>ROUND(Input!C10*0.5*0.45,0)*Input!C14+ROUND(Input!C10*0.5*0.3,0)*Input!C14*1.15+ROUND(Input!C10*0.5*0.2,0)*Input!C14*1.4+Revenue!F17+Revenue!F18+Revenue!F19+Revenue!F20-'Cost sheet'!C34*0.8-'Cost sheet'!C43*ROUND(Input!C10*0.5,0)</f>
        <v>-198967.62496789475</v>
      </c>
      <c r="F22" s="92">
        <f>ROUND(Input!C10*0.5*0.45,0)*Input!C14+ROUND(Input!C10*0.5*0.3,0)*Input!C14*1.15+ROUND(Input!C10*0.5*0.2,0)*Input!C14*1.4+Revenue!F17+Revenue!F18+Revenue!F19+Revenue!F20-'Cost sheet'!C34*0.9-'Cost sheet'!C43*ROUND(Input!C10*0.5,0)</f>
        <v>-305072.95308888156</v>
      </c>
      <c r="G22" s="92">
        <f>ROUND(Input!C10*0.5*0.45,0)*Input!C14+ROUND(Input!C10*0.5*0.3,0)*Input!C14*1.15+ROUND(Input!C10*0.5*0.2,0)*Input!C14*1.4+Revenue!F17+Revenue!F18+Revenue!F19+Revenue!F20-'Cost sheet'!C34*1-'Cost sheet'!C43*ROUND(Input!C10*0.5,0)</f>
        <v>-411178.28120986838</v>
      </c>
      <c r="H22" s="92">
        <f>ROUND(Input!C10*0.5*0.45,0)*Input!C14+ROUND(Input!C10*0.5*0.3,0)*Input!C14*1.15+ROUND(Input!C10*0.5*0.2,0)*Input!C14*1.4+Revenue!F17+Revenue!F18+Revenue!F19+Revenue!F20-'Cost sheet'!C34*1.1-'Cost sheet'!C43*ROUND(Input!C10*0.5,0)</f>
        <v>-517283.60933085531</v>
      </c>
      <c r="I22" s="92">
        <f>ROUND(Input!C10*0.5*0.45,0)*Input!C14+ROUND(Input!C10*0.5*0.3,0)*Input!C14*1.15+ROUND(Input!C10*0.5*0.2,0)*Input!C14*1.4+Revenue!F17+Revenue!F18+Revenue!F19+Revenue!F20-'Cost sheet'!C34*1.2-'Cost sheet'!C43*ROUND(Input!C10*0.5,0)</f>
        <v>-623388.93745184201</v>
      </c>
      <c r="J22" s="267">
        <f>ROUND(Input!C10*0.5*0.45,0)*Input!C14+ROUND(Input!C10*0.5*0.3,0)*Input!C14*1.15+ROUND(Input!C10*0.5*0.2,0)*Input!C14*1.4+Revenue!F17+Revenue!F18+Revenue!F19+Revenue!F20-'Cost sheet'!C34*1.3-'Cost sheet'!C43*ROUND(Input!C10*0.5,0)</f>
        <v>-729494.26557282894</v>
      </c>
    </row>
    <row r="23" spans="2:10" ht="15" x14ac:dyDescent="0.3">
      <c r="B23" s="266" t="s">
        <v>703</v>
      </c>
      <c r="C23" s="92">
        <f>ROUND(Input!C10*0.6*0.45,0)*Input!C14+ROUND(Input!C10*0.6*0.3,0)*Input!C14*1.15+ROUND(Input!C10*0.6*0.2,0)*Input!C14*1.4+Revenue!F17+Revenue!F18+Revenue!F19+Revenue!F20-'Cost sheet'!C34*0.6-'Cost sheet'!C43*ROUND(Input!C10*0.6,0)</f>
        <v>81118.031274078996</v>
      </c>
      <c r="D23" s="92">
        <f>ROUND(Input!C10*0.6*0.45,0)*Input!C14+ROUND(Input!C10*0.6*0.3,0)*Input!C14*1.15+ROUND(Input!C10*0.6*0.2,0)*Input!C14*1.4+Revenue!F17+Revenue!F18+Revenue!F19+Revenue!F20-'Cost sheet'!C34*0.7-'Cost sheet'!C43*ROUND(Input!C10*0.6,0)</f>
        <v>-24987.296846907819</v>
      </c>
      <c r="E23" s="92">
        <f>ROUND(Input!C10*0.6*0.45,0)*Input!C14+ROUND(Input!C10*0.6*0.3,0)*Input!C14*1.15+ROUND(Input!C10*0.6*0.2,0)*Input!C14*1.4+Revenue!F17+Revenue!F18+Revenue!F19+Revenue!F20-'Cost sheet'!C34*0.8-'Cost sheet'!C43*ROUND(Input!C10*0.6,0)</f>
        <v>-131092.62496789475</v>
      </c>
      <c r="F23" s="92">
        <f>ROUND(Input!C10*0.6*0.45,0)*Input!C14+ROUND(Input!C10*0.6*0.3,0)*Input!C14*1.15+ROUND(Input!C10*0.6*0.2,0)*Input!C14*1.4+Revenue!F17+Revenue!F18+Revenue!F19+Revenue!F20-'Cost sheet'!C34*0.9-'Cost sheet'!C43*ROUND(Input!C10*0.6,0)</f>
        <v>-237197.95308888156</v>
      </c>
      <c r="G23" s="92">
        <f>ROUND(Input!C10*0.6*0.45,0)*Input!C14+ROUND(Input!C10*0.6*0.3,0)*Input!C14*1.15+ROUND(Input!C10*0.6*0.2,0)*Input!C14*1.4+Revenue!F17+Revenue!F18+Revenue!F19+Revenue!F20-'Cost sheet'!C34*1-'Cost sheet'!C43*ROUND(Input!C10*0.6,0)</f>
        <v>-343303.28120986838</v>
      </c>
      <c r="H23" s="92">
        <f>ROUND(Input!C10*0.6*0.45,0)*Input!C14+ROUND(Input!C10*0.6*0.3,0)*Input!C14*1.15+ROUND(Input!C10*0.6*0.2,0)*Input!C14*1.4+Revenue!F17+Revenue!F18+Revenue!F19+Revenue!F20-'Cost sheet'!C34*1.1-'Cost sheet'!C43*ROUND(Input!C10*0.6,0)</f>
        <v>-449408.60933085531</v>
      </c>
      <c r="I23" s="92">
        <f>ROUND(Input!C10*0.6*0.45,0)*Input!C14+ROUND(Input!C10*0.6*0.3,0)*Input!C14*1.15+ROUND(Input!C10*0.6*0.2,0)*Input!C14*1.4+Revenue!F17+Revenue!F18+Revenue!F19+Revenue!F20-'Cost sheet'!C34*1.2-'Cost sheet'!C43*ROUND(Input!C10*0.6,0)</f>
        <v>-555513.93745184201</v>
      </c>
      <c r="J23" s="267">
        <f>ROUND(Input!C10*0.6*0.45,0)*Input!C14+ROUND(Input!C10*0.6*0.3,0)*Input!C14*1.15+ROUND(Input!C10*0.6*0.2,0)*Input!C14*1.4+Revenue!F17+Revenue!F18+Revenue!F19+Revenue!F20-'Cost sheet'!C34*1.3-'Cost sheet'!C43*ROUND(Input!C10*0.6,0)</f>
        <v>-661619.26557282894</v>
      </c>
    </row>
    <row r="24" spans="2:10" ht="15" x14ac:dyDescent="0.3">
      <c r="B24" s="266" t="s">
        <v>704</v>
      </c>
      <c r="C24" s="92">
        <f>ROUND(Input!C10*0.7*0.45,0)*Input!C14+ROUND(Input!C10*0.7*0.3,0)*Input!C14*1.15+ROUND(Input!C10*0.7*0.2,0)*Input!C14*1.4+Revenue!F17+Revenue!F18+Revenue!F19+Revenue!F20-'Cost sheet'!C34*0.6-'Cost sheet'!C43*ROUND(Input!C10*0.7,0)</f>
        <v>156493.031274079</v>
      </c>
      <c r="D24" s="92">
        <f>ROUND(Input!C10*0.7*0.45,0)*Input!C14+ROUND(Input!C10*0.7*0.3,0)*Input!C14*1.15+ROUND(Input!C10*0.7*0.2,0)*Input!C14*1.4+Revenue!F17+Revenue!F18+Revenue!F19+Revenue!F20-'Cost sheet'!C34*0.7-'Cost sheet'!C43*ROUND(Input!C10*0.7,0)</f>
        <v>50387.703153092181</v>
      </c>
      <c r="E24" s="92">
        <f>ROUND(Input!C10*0.7*0.45,0)*Input!C14+ROUND(Input!C10*0.7*0.3,0)*Input!C14*1.15+ROUND(Input!C10*0.7*0.2,0)*Input!C14*1.4+Revenue!F17+Revenue!F18+Revenue!F19+Revenue!F20-'Cost sheet'!C34*0.8-'Cost sheet'!C43*ROUND(Input!C10*0.7,0)</f>
        <v>-55717.62496789475</v>
      </c>
      <c r="F24" s="92">
        <f>ROUND(Input!C10*0.7*0.45,0)*Input!C14+ROUND(Input!C10*0.7*0.3,0)*Input!C14*1.15+ROUND(Input!C10*0.7*0.2,0)*Input!C14*1.4+Revenue!F17+Revenue!F18+Revenue!F19+Revenue!F20-'Cost sheet'!C34*0.9-'Cost sheet'!C43*ROUND(Input!C10*0.7,0)</f>
        <v>-161822.95308888156</v>
      </c>
      <c r="G24" s="92">
        <f>ROUND(Input!C10*0.7*0.45,0)*Input!C14+ROUND(Input!C10*0.7*0.3,0)*Input!C14*1.15+ROUND(Input!C10*0.7*0.2,0)*Input!C14*1.4+Revenue!F17+Revenue!F18+Revenue!F19+Revenue!F20-'Cost sheet'!C34*1-'Cost sheet'!C43*ROUND(Input!C10*0.7,0)</f>
        <v>-267928.28120986838</v>
      </c>
      <c r="H24" s="92">
        <f>ROUND(Input!C10*0.7*0.45,0)*Input!C14+ROUND(Input!C10*0.7*0.3,0)*Input!C14*1.15+ROUND(Input!C10*0.7*0.2,0)*Input!C14*1.4+Revenue!F17+Revenue!F18+Revenue!F19+Revenue!F20-'Cost sheet'!C34*1.1-'Cost sheet'!C43*ROUND(Input!C10*0.7,0)</f>
        <v>-374033.60933085531</v>
      </c>
      <c r="I24" s="92">
        <f>ROUND(Input!C10*0.7*0.45,0)*Input!C14+ROUND(Input!C10*0.7*0.3,0)*Input!C14*1.15+ROUND(Input!C10*0.7*0.2,0)*Input!C14*1.4+Revenue!F17+Revenue!F18+Revenue!F19+Revenue!F20-'Cost sheet'!C34*1.2-'Cost sheet'!C43*ROUND(Input!C10*0.7,0)</f>
        <v>-480138.93745184201</v>
      </c>
      <c r="J24" s="267">
        <f>ROUND(Input!C10*0.7*0.45,0)*Input!C14+ROUND(Input!C10*0.7*0.3,0)*Input!C14*1.15+ROUND(Input!C10*0.7*0.2,0)*Input!C14*1.4+Revenue!F17+Revenue!F18+Revenue!F19+Revenue!F20-'Cost sheet'!C34*1.3-'Cost sheet'!C43*ROUND(Input!C10*0.7,0)</f>
        <v>-586244.26557282894</v>
      </c>
    </row>
    <row r="25" spans="2:10" ht="15.6" x14ac:dyDescent="0.3">
      <c r="B25" s="313" t="s">
        <v>705</v>
      </c>
      <c r="C25" s="92">
        <f>ROUND(Input!C10*0.8*0.45,0)*Input!C14+ROUND(Input!C10*0.8*0.3,0)*Input!C14*1.15+ROUND(Input!C10*0.8*0.2,0)*Input!C14*1.4+Revenue!F17+Revenue!F18+Revenue!F19+Revenue!F20-'Cost sheet'!C34*0.6-'Cost sheet'!C43*ROUND(Input!C10*0.8,0)</f>
        <v>224368.031274079</v>
      </c>
      <c r="D25" s="92">
        <f>ROUND(Input!C10*0.8*0.45,0)*Input!C14+ROUND(Input!C10*0.8*0.3,0)*Input!C14*1.15+ROUND(Input!C10*0.8*0.2,0)*Input!C14*1.4+Revenue!F17+Revenue!F18+Revenue!F19+Revenue!F20-'Cost sheet'!C34*0.7-'Cost sheet'!C43*ROUND(Input!C10*0.8,0)</f>
        <v>118262.70315309218</v>
      </c>
      <c r="E25" s="92">
        <f>ROUND(Input!C10*0.8*0.45,0)*Input!C14+ROUND(Input!C10*0.8*0.3,0)*Input!C14*1.15+ROUND(Input!C10*0.8*0.2,0)*Input!C14*1.4+Revenue!F17+Revenue!F18+Revenue!F19+Revenue!F20-'Cost sheet'!C34*0.8-'Cost sheet'!C43*ROUND(Input!C10*0.8,0)</f>
        <v>12157.37503210525</v>
      </c>
      <c r="F25" s="92">
        <f>ROUND(Input!C10*0.8*0.45,0)*Input!C14+ROUND(Input!C10*0.8*0.3,0)*Input!C14*1.15+ROUND(Input!C10*0.8*0.2,0)*Input!C14*1.4+Revenue!F17+Revenue!F18+Revenue!F19+Revenue!F20-'Cost sheet'!C34*0.9-'Cost sheet'!C43*ROUND(Input!C10*0.8,0)</f>
        <v>-93947.953088881564</v>
      </c>
      <c r="G25" s="223">
        <f>ROUND(Input!C10*0.8*0.45,0)*Input!C14+ROUND(Input!C10*0.8*0.3,0)*Input!C14*1.15+ROUND(Input!C10*0.8*0.2,0)*Input!C14*1.4+Revenue!F17+Revenue!F18+Revenue!F19+Revenue!F20-'Cost sheet'!C34*1-'Cost sheet'!C43*ROUND(Input!C10*0.8,0)</f>
        <v>-200053.28120986838</v>
      </c>
      <c r="H25" s="92">
        <f>ROUND(Input!C10*0.8*0.45,0)*Input!C14+ROUND(Input!C10*0.8*0.3,0)*Input!C14*1.15+ROUND(Input!C10*0.8*0.2,0)*Input!C14*1.4+Revenue!F17+Revenue!F18+Revenue!F19+Revenue!F20-'Cost sheet'!C34*1.1-'Cost sheet'!C43*ROUND(Input!C10*0.8,0)</f>
        <v>-306158.60933085531</v>
      </c>
      <c r="I25" s="92">
        <f>ROUND(Input!C10*0.8*0.45,0)*Input!C14+ROUND(Input!C10*0.8*0.3,0)*Input!C14*1.15+ROUND(Input!C10*0.8*0.2,0)*Input!C14*1.4+Revenue!F17+Revenue!F18+Revenue!F19+Revenue!F20-'Cost sheet'!C34*1.2-'Cost sheet'!C43*ROUND(Input!C10*0.8,0)</f>
        <v>-412263.93745184201</v>
      </c>
      <c r="J25" s="267">
        <f>ROUND(Input!C10*0.8*0.45,0)*Input!C14+ROUND(Input!C10*0.8*0.3,0)*Input!C14*1.15+ROUND(Input!C10*0.8*0.2,0)*Input!C14*1.4+Revenue!F17+Revenue!F18+Revenue!F19+Revenue!F20-'Cost sheet'!C34*1.3-'Cost sheet'!C43*ROUND(Input!C10*0.8,0)</f>
        <v>-518369.26557282894</v>
      </c>
    </row>
    <row r="26" spans="2:10" ht="15" x14ac:dyDescent="0.3">
      <c r="B26" s="266" t="s">
        <v>706</v>
      </c>
      <c r="C26" s="92">
        <f>ROUND(Input!C10*0.9*0.45,0)*Input!C14+ROUND(Input!C10*0.9*0.3,0)*Input!C14*1.15+ROUND(Input!C10*0.9*0.2,0)*Input!C14*1.4+Revenue!F17+Revenue!F18+Revenue!F19+Revenue!F20-'Cost sheet'!C34*0.6-'Cost sheet'!C43*ROUND(Input!C10*0.9,0)</f>
        <v>299743.031274079</v>
      </c>
      <c r="D26" s="92">
        <f>ROUND(Input!C10*0.9*0.45,0)*Input!C14+ROUND(Input!C10*0.9*0.3,0)*Input!C14*1.15+ROUND(Input!C10*0.9*0.2,0)*Input!C14*1.4+Revenue!F17+Revenue!F18+Revenue!F19+Revenue!F20-'Cost sheet'!C34*0.7-'Cost sheet'!C43*ROUND(Input!C10*0.9,0)</f>
        <v>193637.70315309218</v>
      </c>
      <c r="E26" s="92">
        <f>ROUND(Input!C10*0.9*0.45,0)*Input!C14+ROUND(Input!C10*0.9*0.3,0)*Input!C14*1.15+ROUND(Input!C10*0.9*0.2,0)*Input!C14*1.4+Revenue!F17+Revenue!F18+Revenue!F19+Revenue!F20-'Cost sheet'!C34*0.8-'Cost sheet'!C43*ROUND(Input!C10*0.9,0)</f>
        <v>87532.37503210525</v>
      </c>
      <c r="F26" s="92">
        <f>ROUND(Input!C10*0.9*0.45,0)*Input!C14+ROUND(Input!C10*0.9*0.3,0)*Input!C14*1.15+ROUND(Input!C10*0.9*0.2,0)*Input!C14*1.4+Revenue!F17+Revenue!F18+Revenue!F19+Revenue!F20-'Cost sheet'!C34*0.9-'Cost sheet'!C43*ROUND(Input!C10*0.9,0)</f>
        <v>-18572.953088881564</v>
      </c>
      <c r="G26" s="92">
        <f>ROUND(Input!C10*0.9*0.45,0)*Input!C14+ROUND(Input!C10*0.9*0.3,0)*Input!C14*1.15+ROUND(Input!C10*0.9*0.2,0)*Input!C14*1.4+Revenue!F17+Revenue!F18+Revenue!F19+Revenue!F20-'Cost sheet'!C34*1-'Cost sheet'!C43*ROUND(Input!C10*0.9,0)</f>
        <v>-124678.28120986838</v>
      </c>
      <c r="H26" s="92">
        <f>ROUND(Input!C10*0.9*0.45,0)*Input!C14+ROUND(Input!C10*0.9*0.3,0)*Input!C14*1.15+ROUND(Input!C10*0.9*0.2,0)*Input!C14*1.4+Revenue!F17+Revenue!F18+Revenue!F19+Revenue!F20-'Cost sheet'!C34*1.1-'Cost sheet'!C43*ROUND(Input!C10*0.9,0)</f>
        <v>-230783.60933085531</v>
      </c>
      <c r="I26" s="92">
        <f>ROUND(Input!C10*0.9*0.45,0)*Input!C14+ROUND(Input!C10*0.9*0.3,0)*Input!C14*1.15+ROUND(Input!C10*0.9*0.2,0)*Input!C14*1.4+Revenue!F17+Revenue!F18+Revenue!F19+Revenue!F20-'Cost sheet'!C34*1.2-'Cost sheet'!C43*ROUND(Input!C10*0.9,0)</f>
        <v>-336888.93745184201</v>
      </c>
      <c r="J26" s="267">
        <f>ROUND(Input!C10*0.9*0.45,0)*Input!C14+ROUND(Input!C10*0.9*0.3,0)*Input!C14*1.15+ROUND(Input!C10*0.9*0.2,0)*Input!C14*1.4+Revenue!F17+Revenue!F18+Revenue!F19+Revenue!F20-'Cost sheet'!C34*1.3-'Cost sheet'!C43*ROUND(Input!C10*0.9,0)</f>
        <v>-442994.26557282894</v>
      </c>
    </row>
    <row r="27" spans="2:10" ht="15.6" thickBot="1" x14ac:dyDescent="0.35">
      <c r="B27" s="314" t="s">
        <v>707</v>
      </c>
      <c r="C27" s="106">
        <f>ROUND(Input!C10*1*0.45,0)*Input!C14+ROUND(Input!C10*1*0.3,0)*Input!C14*1.15+ROUND(Input!C10*1*0.2,0)*Input!C14*1.4+Revenue!F17+Revenue!F18+Revenue!F19+Revenue!F20-'Cost sheet'!C34*0.6-'Cost sheet'!C43*ROUND(Input!C10*1,0)</f>
        <v>367618.031274079</v>
      </c>
      <c r="D27" s="106">
        <f>ROUND(Input!C10*1*0.45,0)*Input!C14+ROUND(Input!C10*1*0.3,0)*Input!C14*1.15+ROUND(Input!C10*1*0.2,0)*Input!C14*1.4+Revenue!F17+Revenue!F18+Revenue!F19+Revenue!F20-'Cost sheet'!C34*0.7-'Cost sheet'!C43*ROUND(Input!C10*1,0)</f>
        <v>261512.70315309218</v>
      </c>
      <c r="E27" s="106">
        <f>ROUND(Input!C10*1*0.45,0)*Input!C14+ROUND(Input!C10*1*0.3,0)*Input!C14*1.15+ROUND(Input!C10*1*0.2,0)*Input!C14*1.4+Revenue!F17+Revenue!F18+Revenue!F19+Revenue!F20-'Cost sheet'!C34*0.8-'Cost sheet'!C43*ROUND(Input!C10*1,0)</f>
        <v>155407.37503210525</v>
      </c>
      <c r="F27" s="106">
        <f>ROUND(Input!C10*1*0.45,0)*Input!C14+ROUND(Input!C10*1*0.3,0)*Input!C14*1.15+ROUND(Input!C10*1*0.2,0)*Input!C14*1.4+Revenue!F17+Revenue!F18+Revenue!F19+Revenue!F20-'Cost sheet'!C34*0.9-'Cost sheet'!C43*ROUND(Input!C10*1,0)</f>
        <v>49302.046911118436</v>
      </c>
      <c r="G27" s="106">
        <f>ROUND(Input!C10*1*0.45,0)*Input!C14+ROUND(Input!C10*1*0.3,0)*Input!C14*1.15+ROUND(Input!C10*1*0.2,0)*Input!C14*1.4+Revenue!F17+Revenue!F18+Revenue!F19+Revenue!F20-'Cost sheet'!C34*1-'Cost sheet'!C43*ROUND(Input!C10*1,0)</f>
        <v>-56803.281209868379</v>
      </c>
      <c r="H27" s="106">
        <f>ROUND(Input!C10*1*0.45,0)*Input!C14+ROUND(Input!C10*1*0.3,0)*Input!C14*1.15+ROUND(Input!C10*1*0.2,0)*Input!C14*1.4+Revenue!F17+Revenue!F18+Revenue!F19+Revenue!F20-'Cost sheet'!C34*1.1-'Cost sheet'!C43*ROUND(Input!C10*1,0)</f>
        <v>-162908.60933085531</v>
      </c>
      <c r="I27" s="106">
        <f>ROUND(Input!C10*1*0.45,0)*Input!C14+ROUND(Input!C10*1*0.3,0)*Input!C14*1.15+ROUND(Input!C10*1*0.2,0)*Input!C14*1.4+Revenue!F17+Revenue!F18+Revenue!F19+Revenue!F20-'Cost sheet'!C34*1.2-'Cost sheet'!C43*ROUND(Input!C10*1,0)</f>
        <v>-269013.93745184201</v>
      </c>
      <c r="J27" s="315">
        <f>ROUND(Input!C10*1*0.45,0)*Input!C14+ROUND(Input!C10*1*0.3,0)*Input!C14*1.15+ROUND(Input!C10*1*0.2,0)*Input!C14*1.4+Revenue!F17+Revenue!F18+Revenue!F19+Revenue!F20-'Cost sheet'!C34*1.3-'Cost sheet'!C43*ROUND(Input!C10*1,0)</f>
        <v>-375119.26557282894</v>
      </c>
    </row>
    <row r="28" spans="2:10" ht="15" thickBot="1" x14ac:dyDescent="0.35">
      <c r="B28" s="282"/>
      <c r="C28" s="282"/>
      <c r="D28" s="282"/>
      <c r="E28" s="282"/>
      <c r="F28" s="282"/>
      <c r="G28" s="282"/>
      <c r="H28" s="282"/>
      <c r="I28" s="282"/>
      <c r="J28" s="282"/>
    </row>
    <row r="29" spans="2:10" ht="17.399999999999999" x14ac:dyDescent="0.3">
      <c r="B29" s="488" t="s">
        <v>965</v>
      </c>
      <c r="C29" s="489"/>
      <c r="D29" s="489"/>
      <c r="E29" s="489"/>
      <c r="F29" s="489"/>
      <c r="G29" s="489"/>
      <c r="H29" s="489"/>
      <c r="I29" s="489"/>
      <c r="J29" s="490"/>
    </row>
    <row r="30" spans="2:10" ht="15.6" x14ac:dyDescent="0.3">
      <c r="B30" s="103" t="s">
        <v>712</v>
      </c>
      <c r="C30" s="91" t="s">
        <v>713</v>
      </c>
      <c r="D30" s="91" t="s">
        <v>714</v>
      </c>
      <c r="E30" s="91" t="s">
        <v>715</v>
      </c>
      <c r="F30" s="91" t="s">
        <v>716</v>
      </c>
      <c r="G30" s="91" t="s">
        <v>717</v>
      </c>
      <c r="H30" s="91" t="s">
        <v>718</v>
      </c>
      <c r="I30" s="91" t="s">
        <v>719</v>
      </c>
      <c r="J30" s="104" t="s">
        <v>720</v>
      </c>
    </row>
    <row r="31" spans="2:10" ht="15" x14ac:dyDescent="0.3">
      <c r="B31" s="266" t="s">
        <v>721</v>
      </c>
      <c r="C31" s="92">
        <f>'Revenue Model'!C14*(1+0)^2*0.95-('Cost sheet'!C43*'Cost sheet'!C49*12)*(1+0)^2-'P&amp;L'!C18-('P&amp;L'!C24-'P&amp;L'!C18)*(1+0)^2</f>
        <v>-2960439.3745184187</v>
      </c>
      <c r="D31" s="92">
        <f>'Revenue Model'!C14*(1+0)^2*0.95-('Cost sheet'!C43*'Cost sheet'!C49*12)*(1+0.02)^2-'P&amp;L'!C18-('P&amp;L'!C24-'P&amp;L'!C18)*(1+0.02)^2</f>
        <v>-3147572.1745184185</v>
      </c>
      <c r="E31" s="92">
        <f>'Revenue Model'!C14*(1+0)^2*0.95-('Cost sheet'!C43*'Cost sheet'!C49*12)*(1+0.03)^2-'P&amp;L'!C18-('P&amp;L'!C24-'P&amp;L'!C18)*(1+0.03)^2</f>
        <v>-3242528.174518418</v>
      </c>
      <c r="F31" s="92">
        <f>'Revenue Model'!C14*(1+0)^2*0.95-('Cost sheet'!C43*'Cost sheet'!C49*12)*(1+0.05)^2-'P&amp;L'!C18-('P&amp;L'!C24-'P&amp;L'!C18)*(1+0.05)^2</f>
        <v>-3435219.3745184187</v>
      </c>
      <c r="G31" s="92">
        <f>'Revenue Model'!C14*(1+0)^2*0.95-('Cost sheet'!C43*'Cost sheet'!C49*12)*(1+0.07)^2-'P&amp;L'!C18-('P&amp;L'!C24-'P&amp;L'!C18)*(1+0.07)^2</f>
        <v>-3631616.1745184185</v>
      </c>
      <c r="H31" s="92">
        <f>'Revenue Model'!C14*(1+0)^2*0.95-('Cost sheet'!C43*'Cost sheet'!C49*12)*(1+0.1)^2-'P&amp;L'!C18-('P&amp;L'!C24-'P&amp;L'!C18)*(1+0.1)^2</f>
        <v>-3933159.3745184196</v>
      </c>
      <c r="I31" s="92">
        <f>'Revenue Model'!C14*(1+0)^2*0.95-('Cost sheet'!C43*'Cost sheet'!C49*12)*(1+0.12)^2-'P&amp;L'!C18-('P&amp;L'!C24-'P&amp;L'!C18)*(1+0.12)^2</f>
        <v>-4138820.1745184194</v>
      </c>
      <c r="J31" s="267">
        <f>'Revenue Model'!C14*(1+0)^2*0.95-('Cost sheet'!C43*'Cost sheet'!C49*12)*(1+0.15)^2-'P&amp;L'!C18-('P&amp;L'!C24-'P&amp;L'!C18)*(1+0.15)^2</f>
        <v>-4454259.3745184178</v>
      </c>
    </row>
    <row r="32" spans="2:10" ht="15" x14ac:dyDescent="0.3">
      <c r="B32" s="266" t="s">
        <v>722</v>
      </c>
      <c r="C32" s="92">
        <f>'Revenue Model'!C14*(1+0.02)^2*0.95-('Cost sheet'!C43*'Cost sheet'!C49*12)*(1+0)^2-'P&amp;L'!C18-('P&amp;L'!C24-'P&amp;L'!C18)*(1+0)^2</f>
        <v>-2530736.8945184182</v>
      </c>
      <c r="D32" s="92">
        <f>'Revenue Model'!C14*(1+0.02)^2*0.95-('Cost sheet'!C43*'Cost sheet'!C49*12)*(1+0.02)^2-'P&amp;L'!C18-('P&amp;L'!C24-'P&amp;L'!C18)*(1+0.02)^2</f>
        <v>-2717869.6945184181</v>
      </c>
      <c r="E32" s="92">
        <f>'Revenue Model'!C14*(1+0.02)^2*0.95-('Cost sheet'!C43*'Cost sheet'!C49*12)*(1+0.03)^2-'P&amp;L'!C18-('P&amp;L'!C24-'P&amp;L'!C18)*(1+0.03)^2</f>
        <v>-2812825.6945184176</v>
      </c>
      <c r="F32" s="92">
        <f>'Revenue Model'!C14*(1+0.02)^2*0.95-('Cost sheet'!C43*'Cost sheet'!C49*12)*(1+0.05)^2-'P&amp;L'!C18-('P&amp;L'!C24-'P&amp;L'!C18)*(1+0.05)^2</f>
        <v>-3005516.8945184182</v>
      </c>
      <c r="G32" s="92">
        <f>'Revenue Model'!C14*(1+0.02)^2*0.95-('Cost sheet'!C43*'Cost sheet'!C49*12)*(1+0.07)^2-'P&amp;L'!C18-('P&amp;L'!C24-'P&amp;L'!C18)*(1+0.07)^2</f>
        <v>-3201913.6945184181</v>
      </c>
      <c r="H32" s="92">
        <f>'Revenue Model'!C14*(1+0.02)^2*0.95-('Cost sheet'!C43*'Cost sheet'!C49*12)*(1+0.1)^2-'P&amp;L'!C18-('P&amp;L'!C24-'P&amp;L'!C18)*(1+0.1)^2</f>
        <v>-3503456.8945184192</v>
      </c>
      <c r="I32" s="92">
        <f>'Revenue Model'!C14*(1+0.02)^2*0.95-('Cost sheet'!C43*'Cost sheet'!C49*12)*(1+0.12)^2-'P&amp;L'!C18-('P&amp;L'!C24-'P&amp;L'!C18)*(1+0.12)^2</f>
        <v>-3709117.694518419</v>
      </c>
      <c r="J32" s="267">
        <f>'Revenue Model'!C14*(1+0.02)^2*0.95-('Cost sheet'!C43*'Cost sheet'!C49*12)*(1+0.15)^2-'P&amp;L'!C18-('P&amp;L'!C24-'P&amp;L'!C18)*(1+0.15)^2</f>
        <v>-4024556.8945184173</v>
      </c>
    </row>
    <row r="33" spans="2:10" ht="15" x14ac:dyDescent="0.3">
      <c r="B33" s="266" t="s">
        <v>723</v>
      </c>
      <c r="C33" s="92">
        <f>'Revenue Model'!C14*(1+0.03)^2*0.95-('Cost sheet'!C43*'Cost sheet'!C49*12)*(1+0)^2-'P&amp;L'!C18-('P&amp;L'!C24-'P&amp;L'!C18)*(1+0)^2</f>
        <v>-2312694.7945184186</v>
      </c>
      <c r="D33" s="92">
        <f>'Revenue Model'!C14*(1+0.03)^2*0.95-('Cost sheet'!C43*'Cost sheet'!C49*12)*(1+0.02)^2-'P&amp;L'!C18-('P&amp;L'!C24-'P&amp;L'!C18)*(1+0.02)^2</f>
        <v>-2499827.5945184184</v>
      </c>
      <c r="E33" s="92">
        <f>'Revenue Model'!C14*(1+0.03)^2*0.95-('Cost sheet'!C43*'Cost sheet'!C49*12)*(1+0.03)^2-'P&amp;L'!C18-('P&amp;L'!C24-'P&amp;L'!C18)*(1+0.03)^2</f>
        <v>-2594783.594518418</v>
      </c>
      <c r="F33" s="92">
        <f>'Revenue Model'!C14*(1+0.03)^2*0.95-('Cost sheet'!C43*'Cost sheet'!C49*12)*(1+0.05)^2-'P&amp;L'!C18-('P&amp;L'!C24-'P&amp;L'!C18)*(1+0.05)^2</f>
        <v>-2787474.7945184186</v>
      </c>
      <c r="G33" s="92">
        <f>'Revenue Model'!C14*(1+0.03)^2*0.95-('Cost sheet'!C43*'Cost sheet'!C49*12)*(1+0.07)^2-'P&amp;L'!C18-('P&amp;L'!C24-'P&amp;L'!C18)*(1+0.07)^2</f>
        <v>-2983871.5945184184</v>
      </c>
      <c r="H33" s="92">
        <f>'Revenue Model'!C14*(1+0.03)^2*0.95-('Cost sheet'!C43*'Cost sheet'!C49*12)*(1+0.1)^2-'P&amp;L'!C18-('P&amp;L'!C24-'P&amp;L'!C18)*(1+0.1)^2</f>
        <v>-3285414.7945184195</v>
      </c>
      <c r="I33" s="92">
        <f>'Revenue Model'!C14*(1+0.03)^2*0.95-('Cost sheet'!C43*'Cost sheet'!C49*12)*(1+0.12)^2-'P&amp;L'!C18-('P&amp;L'!C24-'P&amp;L'!C18)*(1+0.12)^2</f>
        <v>-3491075.5945184194</v>
      </c>
      <c r="J33" s="267">
        <f>'Revenue Model'!C14*(1+0.03)^2*0.95-('Cost sheet'!C43*'Cost sheet'!C49*12)*(1+0.15)^2-'P&amp;L'!C18-('P&amp;L'!C24-'P&amp;L'!C18)*(1+0.15)^2</f>
        <v>-3806514.7945184177</v>
      </c>
    </row>
    <row r="34" spans="2:10" ht="15.6" x14ac:dyDescent="0.3">
      <c r="B34" s="313" t="s">
        <v>724</v>
      </c>
      <c r="C34" s="92">
        <f>'Revenue Model'!C14*(1+0.05)^2*0.95-('Cost sheet'!C43*'Cost sheet'!C49*12)*(1+0)^2-'P&amp;L'!C18-('P&amp;L'!C24-'P&amp;L'!C18)*(1+0)^2</f>
        <v>-1870228.8745184187</v>
      </c>
      <c r="D34" s="92">
        <f>'Revenue Model'!C14*(1+0.05)^2*0.95-('Cost sheet'!C43*'Cost sheet'!C49*12)*(1+0.02)^2-'P&amp;L'!C18-('P&amp;L'!C24-'P&amp;L'!C18)*(1+0.02)^2</f>
        <v>-2057361.6745184185</v>
      </c>
      <c r="E34" s="92">
        <f>'Revenue Model'!C14*(1+0.05)^2*0.95-('Cost sheet'!C43*'Cost sheet'!C49*12)*(1+0.03)^2-'P&amp;L'!C18-('P&amp;L'!C24-'P&amp;L'!C18)*(1+0.03)^2</f>
        <v>-2152317.674518418</v>
      </c>
      <c r="F34" s="191">
        <f>'Revenue Model'!C14*(1+0.05)^2*0.95-('Cost sheet'!C43*'Cost sheet'!C49*12)*(1+0.05)^2-'P&amp;L'!C18-('P&amp;L'!C24-'P&amp;L'!C18)*(1+0.05)^2</f>
        <v>-2345008.8745184187</v>
      </c>
      <c r="G34" s="92">
        <f>'Revenue Model'!C14*(1+0.05)^2*0.95-('Cost sheet'!C43*'Cost sheet'!C49*12)*(1+0.07)^2-'P&amp;L'!C18-('P&amp;L'!C24-'P&amp;L'!C18)*(1+0.07)^2</f>
        <v>-2541405.6745184185</v>
      </c>
      <c r="H34" s="92">
        <f>'Revenue Model'!C14*(1+0.05)^2*0.95-('Cost sheet'!C43*'Cost sheet'!C49*12)*(1+0.1)^2-'P&amp;L'!C18-('P&amp;L'!C24-'P&amp;L'!C18)*(1+0.1)^2</f>
        <v>-2842948.8745184196</v>
      </c>
      <c r="I34" s="92">
        <f>'Revenue Model'!C14*(1+0.05)^2*0.95-('Cost sheet'!C43*'Cost sheet'!C49*12)*(1+0.12)^2-'P&amp;L'!C18-('P&amp;L'!C24-'P&amp;L'!C18)*(1+0.12)^2</f>
        <v>-3048609.6745184194</v>
      </c>
      <c r="J34" s="267">
        <f>'Revenue Model'!C14*(1+0.05)^2*0.95-('Cost sheet'!C43*'Cost sheet'!C49*12)*(1+0.15)^2-'P&amp;L'!C18-('P&amp;L'!C24-'P&amp;L'!C18)*(1+0.15)^2</f>
        <v>-3364048.8745184178</v>
      </c>
    </row>
    <row r="35" spans="2:10" ht="15" x14ac:dyDescent="0.3">
      <c r="B35" s="266" t="s">
        <v>725</v>
      </c>
      <c r="C35" s="92">
        <f>'Revenue Model'!C14*(1+0.07)^2*0.95-('Cost sheet'!C43*'Cost sheet'!C49*12)*(1+0)^2-'P&amp;L'!C18-('P&amp;L'!C24-'P&amp;L'!C18)*(1+0)^2</f>
        <v>-1419253.9945184197</v>
      </c>
      <c r="D35" s="92">
        <f>'Revenue Model'!C14*(1+0.07)^2*0.95-('Cost sheet'!C43*'Cost sheet'!C49*12)*(1+0.02)^2-'P&amp;L'!C18-('P&amp;L'!C24-'P&amp;L'!C18)*(1+0.02)^2</f>
        <v>-1606386.7945184195</v>
      </c>
      <c r="E35" s="92">
        <f>'Revenue Model'!C14*(1+0.07)^2*0.95-('Cost sheet'!C43*'Cost sheet'!C49*12)*(1+0.03)^2-'P&amp;L'!C18-('P&amp;L'!C24-'P&amp;L'!C18)*(1+0.03)^2</f>
        <v>-1701342.7945184191</v>
      </c>
      <c r="F35" s="92">
        <f>'Revenue Model'!C14*(1+0.07)^2*0.95-('Cost sheet'!C43*'Cost sheet'!C49*12)*(1+0.05)^2-'P&amp;L'!C18-('P&amp;L'!C24-'P&amp;L'!C18)*(1+0.05)^2</f>
        <v>-1894033.9945184197</v>
      </c>
      <c r="G35" s="92">
        <f>'Revenue Model'!C14*(1+0.07)^2*0.95-('Cost sheet'!C43*'Cost sheet'!C49*12)*(1+0.07)^2-'P&amp;L'!C18-('P&amp;L'!C24-'P&amp;L'!C18)*(1+0.07)^2</f>
        <v>-2090430.7945184195</v>
      </c>
      <c r="H35" s="92">
        <f>'Revenue Model'!C14*(1+0.07)^2*0.95-('Cost sheet'!C43*'Cost sheet'!C49*12)*(1+0.1)^2-'P&amp;L'!C18-('P&amp;L'!C24-'P&amp;L'!C18)*(1+0.1)^2</f>
        <v>-2391973.9945184207</v>
      </c>
      <c r="I35" s="92">
        <f>'Revenue Model'!C14*(1+0.07)^2*0.95-('Cost sheet'!C43*'Cost sheet'!C49*12)*(1+0.12)^2-'P&amp;L'!C18-('P&amp;L'!C24-'P&amp;L'!C18)*(1+0.12)^2</f>
        <v>-2597634.7945184205</v>
      </c>
      <c r="J35" s="267">
        <f>'Revenue Model'!C14*(1+0.07)^2*0.95-('Cost sheet'!C43*'Cost sheet'!C49*12)*(1+0.15)^2-'P&amp;L'!C18-('P&amp;L'!C24-'P&amp;L'!C18)*(1+0.15)^2</f>
        <v>-2913073.9945184188</v>
      </c>
    </row>
    <row r="36" spans="2:10" ht="15" x14ac:dyDescent="0.3">
      <c r="B36" s="266" t="s">
        <v>726</v>
      </c>
      <c r="C36" s="92">
        <f>'Revenue Model'!C14*(1+0.1)^2*0.95-('Cost sheet'!C43*'Cost sheet'!C49*12)*(1+0)^2-'P&amp;L'!C18-('P&amp;L'!C24-'P&amp;L'!C18)*(1+0)^2</f>
        <v>-726837.37451841682</v>
      </c>
      <c r="D36" s="92">
        <f>'Revenue Model'!C14*(1+0.1)^2*0.95-('Cost sheet'!C43*'Cost sheet'!C49*12)*(1+0.02)^2-'P&amp;L'!C18-('P&amp;L'!C24-'P&amp;L'!C18)*(1+0.02)^2</f>
        <v>-913970.17451841664</v>
      </c>
      <c r="E36" s="92">
        <f>'Revenue Model'!C14*(1+0.1)^2*0.95-('Cost sheet'!C43*'Cost sheet'!C49*12)*(1+0.03)^2-'P&amp;L'!C18-('P&amp;L'!C24-'P&amp;L'!C18)*(1+0.03)^2</f>
        <v>-1008926.1745184162</v>
      </c>
      <c r="F36" s="92">
        <f>'Revenue Model'!C14*(1+0.1)^2*0.95-('Cost sheet'!C43*'Cost sheet'!C49*12)*(1+0.05)^2-'P&amp;L'!C18-('P&amp;L'!C24-'P&amp;L'!C18)*(1+0.05)^2</f>
        <v>-1201617.3745184168</v>
      </c>
      <c r="G36" s="92">
        <f>'Revenue Model'!C14*(1+0.1)^2*0.95-('Cost sheet'!C43*'Cost sheet'!C49*12)*(1+0.07)^2-'P&amp;L'!C18-('P&amp;L'!C24-'P&amp;L'!C18)*(1+0.07)^2</f>
        <v>-1398014.1745184166</v>
      </c>
      <c r="H36" s="92">
        <f>'Revenue Model'!C14*(1+0.1)^2*0.95-('Cost sheet'!C43*'Cost sheet'!C49*12)*(1+0.1)^2-'P&amp;L'!C18-('P&amp;L'!C24-'P&amp;L'!C18)*(1+0.1)^2</f>
        <v>-1699557.3745184178</v>
      </c>
      <c r="I36" s="92">
        <f>'Revenue Model'!C14*(1+0.1)^2*0.95-('Cost sheet'!C43*'Cost sheet'!C49*12)*(1+0.12)^2-'P&amp;L'!C18-('P&amp;L'!C24-'P&amp;L'!C18)*(1+0.12)^2</f>
        <v>-1905218.1745184176</v>
      </c>
      <c r="J36" s="267">
        <f>'Revenue Model'!C14*(1+0.1)^2*0.95-('Cost sheet'!C43*'Cost sheet'!C49*12)*(1+0.15)^2-'P&amp;L'!C18-('P&amp;L'!C24-'P&amp;L'!C18)*(1+0.15)^2</f>
        <v>-2220657.3745184159</v>
      </c>
    </row>
    <row r="37" spans="2:10" ht="15" x14ac:dyDescent="0.3">
      <c r="B37" s="266" t="s">
        <v>727</v>
      </c>
      <c r="C37" s="92">
        <f>'Revenue Model'!C14*(1+0.12)^2*0.95-('Cost sheet'!C43*'Cost sheet'!C49*12)*(1+0)^2-'P&amp;L'!C18-('P&amp;L'!C24-'P&amp;L'!C18)*(1+0)^2</f>
        <v>-254590.09451841749</v>
      </c>
      <c r="D37" s="92">
        <f>'Revenue Model'!C14*(1+0.12)^2*0.95-('Cost sheet'!C43*'Cost sheet'!C49*12)*(1+0.02)^2-'P&amp;L'!C18-('P&amp;L'!C24-'P&amp;L'!C18)*(1+0.02)^2</f>
        <v>-441722.89451841731</v>
      </c>
      <c r="E37" s="92">
        <f>'Revenue Model'!C14*(1+0.12)^2*0.95-('Cost sheet'!C43*'Cost sheet'!C49*12)*(1+0.03)^2-'P&amp;L'!C18-('P&amp;L'!C24-'P&amp;L'!C18)*(1+0.03)^2</f>
        <v>-536678.89451841684</v>
      </c>
      <c r="F37" s="92">
        <f>'Revenue Model'!C14*(1+0.12)^2*0.95-('Cost sheet'!C43*'Cost sheet'!C49*12)*(1+0.05)^2-'P&amp;L'!C18-('P&amp;L'!C24-'P&amp;L'!C18)*(1+0.05)^2</f>
        <v>-729370.09451841749</v>
      </c>
      <c r="G37" s="92">
        <f>'Revenue Model'!C14*(1+0.12)^2*0.95-('Cost sheet'!C43*'Cost sheet'!C49*12)*(1+0.07)^2-'P&amp;L'!C18-('P&amp;L'!C24-'P&amp;L'!C18)*(1+0.07)^2</f>
        <v>-925766.89451841731</v>
      </c>
      <c r="H37" s="92">
        <f>'Revenue Model'!C14*(1+0.12)^2*0.95-('Cost sheet'!C43*'Cost sheet'!C49*12)*(1+0.1)^2-'P&amp;L'!C18-('P&amp;L'!C24-'P&amp;L'!C18)*(1+0.1)^2</f>
        <v>-1227310.0945184184</v>
      </c>
      <c r="I37" s="92">
        <f>'Revenue Model'!C14*(1+0.12)^2*0.95-('Cost sheet'!C43*'Cost sheet'!C49*12)*(1+0.12)^2-'P&amp;L'!C18-('P&amp;L'!C24-'P&amp;L'!C18)*(1+0.12)^2</f>
        <v>-1432970.8945184182</v>
      </c>
      <c r="J37" s="267">
        <f>'Revenue Model'!C14*(1+0.12)^2*0.95-('Cost sheet'!C43*'Cost sheet'!C49*12)*(1+0.15)^2-'P&amp;L'!C18-('P&amp;L'!C24-'P&amp;L'!C18)*(1+0.15)^2</f>
        <v>-1748410.0945184166</v>
      </c>
    </row>
    <row r="38" spans="2:10" ht="15.6" thickBot="1" x14ac:dyDescent="0.35">
      <c r="B38" s="314" t="s">
        <v>728</v>
      </c>
      <c r="C38" s="106">
        <f>'Revenue Model'!C14*(1+0.15)^2*0.95-('Cost sheet'!C43*'Cost sheet'!C49*12)*(1+0)^2-'P&amp;L'!C18-('P&amp;L'!C24-'P&amp;L'!C18)*(1+0)^2</f>
        <v>469735.12548157945</v>
      </c>
      <c r="D38" s="106">
        <f>'Revenue Model'!C14*(1+0.15)^2*0.95-('Cost sheet'!C43*'Cost sheet'!C49*12)*(1+0.02)^2-'P&amp;L'!C18-('P&amp;L'!C24-'P&amp;L'!C18)*(1+0.02)^2</f>
        <v>282602.32548157964</v>
      </c>
      <c r="E38" s="106">
        <f>'Revenue Model'!C14*(1+0.15)^2*0.95-('Cost sheet'!C43*'Cost sheet'!C49*12)*(1+0.03)^2-'P&amp;L'!C18-('P&amp;L'!C24-'P&amp;L'!C18)*(1+0.03)^2</f>
        <v>187646.3254815801</v>
      </c>
      <c r="F38" s="106">
        <f>'Revenue Model'!C14*(1+0.15)^2*0.95-('Cost sheet'!C43*'Cost sheet'!C49*12)*(1+0.05)^2-'P&amp;L'!C18-('P&amp;L'!C24-'P&amp;L'!C18)*(1+0.05)^2</f>
        <v>-5044.8745184205472</v>
      </c>
      <c r="G38" s="106">
        <f>'Revenue Model'!C14*(1+0.15)^2*0.95-('Cost sheet'!C43*'Cost sheet'!C49*12)*(1+0.07)^2-'P&amp;L'!C18-('P&amp;L'!C24-'P&amp;L'!C18)*(1+0.07)^2</f>
        <v>-201441.67451842036</v>
      </c>
      <c r="H38" s="106">
        <f>'Revenue Model'!C14*(1+0.15)^2*0.95-('Cost sheet'!C43*'Cost sheet'!C49*12)*(1+0.1)^2-'P&amp;L'!C18-('P&amp;L'!C24-'P&amp;L'!C18)*(1+0.1)^2</f>
        <v>-502984.87451842148</v>
      </c>
      <c r="I38" s="106">
        <f>'Revenue Model'!C14*(1+0.15)^2*0.95-('Cost sheet'!C43*'Cost sheet'!C49*12)*(1+0.12)^2-'P&amp;L'!C18-('P&amp;L'!C24-'P&amp;L'!C18)*(1+0.12)^2</f>
        <v>-708645.67451842129</v>
      </c>
      <c r="J38" s="315">
        <f>'Revenue Model'!C14*(1+0.15)^2*0.95-('Cost sheet'!C43*'Cost sheet'!C49*12)*(1+0.15)^2-'P&amp;L'!C18-('P&amp;L'!C24-'P&amp;L'!C18)*(1+0.15)^2</f>
        <v>-1024084.8745184196</v>
      </c>
    </row>
    <row r="39" spans="2:10" ht="15" thickBot="1" x14ac:dyDescent="0.35">
      <c r="B39" s="282"/>
      <c r="C39" s="282"/>
      <c r="D39" s="282"/>
      <c r="E39" s="282"/>
      <c r="F39" s="282"/>
      <c r="G39" s="282"/>
      <c r="H39" s="282"/>
      <c r="I39" s="282"/>
      <c r="J39" s="282"/>
    </row>
    <row r="40" spans="2:10" ht="17.399999999999999" x14ac:dyDescent="0.3">
      <c r="B40" s="488" t="s">
        <v>966</v>
      </c>
      <c r="C40" s="489"/>
      <c r="D40" s="489"/>
      <c r="E40" s="489"/>
      <c r="F40" s="489"/>
      <c r="G40" s="489"/>
      <c r="H40" s="489"/>
      <c r="I40" s="489"/>
      <c r="J40" s="490"/>
    </row>
    <row r="41" spans="2:10" ht="15.6" x14ac:dyDescent="0.3">
      <c r="B41" s="103" t="s">
        <v>729</v>
      </c>
      <c r="C41" s="91" t="s">
        <v>730</v>
      </c>
      <c r="D41" s="91" t="s">
        <v>731</v>
      </c>
      <c r="E41" s="91" t="s">
        <v>732</v>
      </c>
      <c r="F41" s="91" t="s">
        <v>733</v>
      </c>
      <c r="G41" s="91" t="s">
        <v>734</v>
      </c>
      <c r="H41" s="91" t="s">
        <v>735</v>
      </c>
      <c r="I41" s="91" t="s">
        <v>736</v>
      </c>
      <c r="J41" s="104" t="s">
        <v>737</v>
      </c>
    </row>
    <row r="42" spans="2:10" ht="15" x14ac:dyDescent="0.3">
      <c r="B42" s="266" t="s">
        <v>738</v>
      </c>
      <c r="C42" s="92">
        <f>'P&amp;L'!C26*0.5*((1-(1+0.06)^(-Input!C23))/0.06)-'Cost sheet'!C15</f>
        <v>-97213150.908727378</v>
      </c>
      <c r="D42" s="92">
        <f>'P&amp;L'!C26*0.75*((1-(1+0.06)^(-Input!C23))/0.06)-'Cost sheet'!C15</f>
        <v>-101344726.36309107</v>
      </c>
      <c r="E42" s="92">
        <f>'P&amp;L'!C26*1*((1-(1+0.06)^(-Input!C23))/0.06)-'Cost sheet'!C15</f>
        <v>-105476301.81745476</v>
      </c>
      <c r="F42" s="92">
        <f>'P&amp;L'!C26*1.25*((1-(1+0.06)^(-Input!C23))/0.06)-'Cost sheet'!C15</f>
        <v>-109607877.27181844</v>
      </c>
      <c r="G42" s="92">
        <f>'P&amp;L'!C26*1.5*((1-(1+0.06)^(-Input!C23))/0.06)-'Cost sheet'!C15</f>
        <v>-113739452.72618213</v>
      </c>
      <c r="H42" s="92">
        <f>'P&amp;L'!C26*2*((1-(1+0.06)^(-Input!C23))/0.06)-'Cost sheet'!C15</f>
        <v>-122002603.63490951</v>
      </c>
      <c r="I42" s="92">
        <f>'P&amp;L'!C26*2.5*((1-(1+0.06)^(-Input!C23))/0.06)-'Cost sheet'!C15</f>
        <v>-130265754.54363689</v>
      </c>
      <c r="J42" s="267">
        <f>'P&amp;L'!C26*3*((1-(1+0.06)^(-Input!C23))/0.06)-'Cost sheet'!C15</f>
        <v>-138528905.45236427</v>
      </c>
    </row>
    <row r="43" spans="2:10" ht="15" x14ac:dyDescent="0.3">
      <c r="B43" s="266" t="s">
        <v>739</v>
      </c>
      <c r="C43" s="92">
        <f>'P&amp;L'!C26*0.5*((1-(1+0.08)^(-Input!C23))/0.08)-'Cost sheet'!C15</f>
        <v>-96656571.460819259</v>
      </c>
      <c r="D43" s="92">
        <f>'P&amp;L'!C26*0.75*((1-(1+0.08)^(-Input!C23))/0.08)-'Cost sheet'!C15</f>
        <v>-100509857.1912289</v>
      </c>
      <c r="E43" s="92">
        <f>'P&amp;L'!C26*1*((1-(1+0.08)^(-Input!C23))/0.08)-'Cost sheet'!C15</f>
        <v>-104363142.92163852</v>
      </c>
      <c r="F43" s="92">
        <f>'P&amp;L'!C26*1.25*((1-(1+0.08)^(-Input!C23))/0.08)-'Cost sheet'!C15</f>
        <v>-108216428.65204816</v>
      </c>
      <c r="G43" s="92">
        <f>'P&amp;L'!C26*1.5*((1-(1+0.08)^(-Input!C23))/0.08)-'Cost sheet'!C15</f>
        <v>-112069714.38245779</v>
      </c>
      <c r="H43" s="92">
        <f>'P&amp;L'!C26*2*((1-(1+0.08)^(-Input!C23))/0.08)-'Cost sheet'!C15</f>
        <v>-119776285.84327705</v>
      </c>
      <c r="I43" s="92">
        <f>'P&amp;L'!C26*2.5*((1-(1+0.08)^(-Input!C23))/0.08)-'Cost sheet'!C15</f>
        <v>-127482857.30409631</v>
      </c>
      <c r="J43" s="267">
        <f>'P&amp;L'!C26*3*((1-(1+0.08)^(-Input!C23))/0.08)-'Cost sheet'!C15</f>
        <v>-135189428.76491559</v>
      </c>
    </row>
    <row r="44" spans="2:10" ht="15" x14ac:dyDescent="0.3">
      <c r="B44" s="266" t="s">
        <v>740</v>
      </c>
      <c r="C44" s="92">
        <f>'P&amp;L'!C26*0.5*((1-(1+0.1)^(-Input!C23))/0.1)-'Cost sheet'!C15</f>
        <v>-96156329.379772291</v>
      </c>
      <c r="D44" s="92">
        <f>'P&amp;L'!C26*0.75*((1-(1+0.1)^(-Input!C23))/0.1)-'Cost sheet'!C15</f>
        <v>-99759494.069658428</v>
      </c>
      <c r="E44" s="92">
        <f>'P&amp;L'!C26*1*((1-(1+0.1)^(-Input!C23))/0.1)-'Cost sheet'!C15</f>
        <v>-103362658.75954457</v>
      </c>
      <c r="F44" s="92">
        <f>'P&amp;L'!C26*1.25*((1-(1+0.1)^(-Input!C23))/0.1)-'Cost sheet'!C15</f>
        <v>-106965823.44943072</v>
      </c>
      <c r="G44" s="92">
        <f>'P&amp;L'!C26*1.5*((1-(1+0.1)^(-Input!C23))/0.1)-'Cost sheet'!C15</f>
        <v>-110568988.13931686</v>
      </c>
      <c r="H44" s="92">
        <f>'P&amp;L'!C26*2*((1-(1+0.1)^(-Input!C23))/0.1)-'Cost sheet'!C15</f>
        <v>-117775317.51908915</v>
      </c>
      <c r="I44" s="92">
        <f>'P&amp;L'!C26*2.5*((1-(1+0.1)^(-Input!C23))/0.1)-'Cost sheet'!C15</f>
        <v>-124981646.89886144</v>
      </c>
      <c r="J44" s="267">
        <f>'P&amp;L'!C26*3*((1-(1+0.1)^(-Input!C23))/0.1)-'Cost sheet'!C15</f>
        <v>-132187976.27863371</v>
      </c>
    </row>
    <row r="45" spans="2:10" ht="15.6" x14ac:dyDescent="0.3">
      <c r="B45" s="313" t="s">
        <v>741</v>
      </c>
      <c r="C45" s="92">
        <f>'P&amp;L'!C26*0.5*((1-(1+0.12)^(-Input!C23))/0.12)-'Cost sheet'!C15</f>
        <v>-95705362.27667737</v>
      </c>
      <c r="D45" s="92">
        <f>'P&amp;L'!C26*0.75*((1-(1+0.12)^(-Input!C23))/0.12)-'Cost sheet'!C15</f>
        <v>-99083043.415016055</v>
      </c>
      <c r="E45" s="223">
        <f>'P&amp;L'!C26*1*((1-(1+0.12)^(-Input!C23))/0.12)-'Cost sheet'!C15</f>
        <v>-102460724.55335474</v>
      </c>
      <c r="F45" s="92">
        <f>'P&amp;L'!C26*1.25*((1-(1+0.12)^(-Input!C23))/0.12)-'Cost sheet'!C15</f>
        <v>-105838405.69169343</v>
      </c>
      <c r="G45" s="92">
        <f>'P&amp;L'!C26*1.5*((1-(1+0.12)^(-Input!C23))/0.12)-'Cost sheet'!C15</f>
        <v>-109216086.83003211</v>
      </c>
      <c r="H45" s="92">
        <f>'P&amp;L'!C26*2*((1-(1+0.12)^(-Input!C23))/0.12)-'Cost sheet'!C15</f>
        <v>-115971449.10670948</v>
      </c>
      <c r="I45" s="92">
        <f>'P&amp;L'!C26*2.5*((1-(1+0.12)^(-Input!C23))/0.12)-'Cost sheet'!C15</f>
        <v>-122726811.38338685</v>
      </c>
      <c r="J45" s="267">
        <f>'P&amp;L'!C26*3*((1-(1+0.12)^(-Input!C23))/0.12)-'Cost sheet'!C15</f>
        <v>-129482173.66006422</v>
      </c>
    </row>
    <row r="46" spans="2:10" ht="15" x14ac:dyDescent="0.3">
      <c r="B46" s="266" t="s">
        <v>742</v>
      </c>
      <c r="C46" s="92">
        <f>'P&amp;L'!C26*0.5*((1-(1+0.14)^(-Input!C23))/0.14)-'Cost sheet'!C15</f>
        <v>-95297633.247763872</v>
      </c>
      <c r="D46" s="92">
        <f>'P&amp;L'!C26*0.75*((1-(1+0.14)^(-Input!C23))/0.14)-'Cost sheet'!C15</f>
        <v>-98471449.871645808</v>
      </c>
      <c r="E46" s="92">
        <f>'P&amp;L'!C26*1*((1-(1+0.14)^(-Input!C23))/0.14)-'Cost sheet'!C15</f>
        <v>-101645266.49552774</v>
      </c>
      <c r="F46" s="92">
        <f>'P&amp;L'!C26*1.25*((1-(1+0.14)^(-Input!C23))/0.14)-'Cost sheet'!C15</f>
        <v>-104819083.11940968</v>
      </c>
      <c r="G46" s="92">
        <f>'P&amp;L'!C26*1.5*((1-(1+0.14)^(-Input!C23))/0.14)-'Cost sheet'!C15</f>
        <v>-107992899.74329162</v>
      </c>
      <c r="H46" s="92">
        <f>'P&amp;L'!C26*2*((1-(1+0.14)^(-Input!C23))/0.14)-'Cost sheet'!C15</f>
        <v>-114340532.99105549</v>
      </c>
      <c r="I46" s="92">
        <f>'P&amp;L'!C26*2.5*((1-(1+0.14)^(-Input!C23))/0.14)-'Cost sheet'!C15</f>
        <v>-120688166.23881936</v>
      </c>
      <c r="J46" s="267">
        <f>'P&amp;L'!C26*3*((1-(1+0.14)^(-Input!C23))/0.14)-'Cost sheet'!C15</f>
        <v>-127035799.48658323</v>
      </c>
    </row>
    <row r="47" spans="2:10" ht="15" x14ac:dyDescent="0.3">
      <c r="B47" s="266" t="s">
        <v>743</v>
      </c>
      <c r="C47" s="92">
        <f>'P&amp;L'!C26*0.5*((1-(1+0.16)^(-Input!C23))/0.16)-'Cost sheet'!C15</f>
        <v>-94927964.06992951</v>
      </c>
      <c r="D47" s="92">
        <f>'P&amp;L'!C26*0.75*((1-(1+0.16)^(-Input!C23))/0.16)-'Cost sheet'!C15</f>
        <v>-97916946.104894251</v>
      </c>
      <c r="E47" s="92">
        <f>'P&amp;L'!C26*1*((1-(1+0.16)^(-Input!C23))/0.16)-'Cost sheet'!C15</f>
        <v>-100905928.13985901</v>
      </c>
      <c r="F47" s="92">
        <f>'P&amp;L'!C26*1.25*((1-(1+0.16)^(-Input!C23))/0.16)-'Cost sheet'!C15</f>
        <v>-103894910.17482376</v>
      </c>
      <c r="G47" s="92">
        <f>'P&amp;L'!C26*1.5*((1-(1+0.16)^(-Input!C23))/0.16)-'Cost sheet'!C15</f>
        <v>-106883892.2097885</v>
      </c>
      <c r="H47" s="92">
        <f>'P&amp;L'!C26*2*((1-(1+0.16)^(-Input!C23))/0.16)-'Cost sheet'!C15</f>
        <v>-112861856.27971801</v>
      </c>
      <c r="I47" s="92">
        <f>'P&amp;L'!C26*2.5*((1-(1+0.16)^(-Input!C23))/0.16)-'Cost sheet'!C15</f>
        <v>-118839820.34964752</v>
      </c>
      <c r="J47" s="267">
        <f>'P&amp;L'!C26*3*((1-(1+0.16)^(-Input!C23))/0.16)-'Cost sheet'!C15</f>
        <v>-124817784.41957702</v>
      </c>
    </row>
    <row r="48" spans="2:10" ht="15" x14ac:dyDescent="0.3">
      <c r="B48" s="266" t="s">
        <v>744</v>
      </c>
      <c r="C48" s="92">
        <f>'P&amp;L'!C26*0.5*((1-(1+0.18)^(-Input!C23))/0.18)-'Cost sheet'!C15</f>
        <v>-94591898.182167307</v>
      </c>
      <c r="D48" s="92">
        <f>'P&amp;L'!C26*0.75*((1-(1+0.18)^(-Input!C23))/0.18)-'Cost sheet'!C15</f>
        <v>-97412847.273250952</v>
      </c>
      <c r="E48" s="92">
        <f>'P&amp;L'!C26*1*((1-(1+0.18)^(-Input!C23))/0.18)-'Cost sheet'!C15</f>
        <v>-100233796.36433461</v>
      </c>
      <c r="F48" s="92">
        <f>'P&amp;L'!C26*1.25*((1-(1+0.18)^(-Input!C23))/0.18)-'Cost sheet'!C15</f>
        <v>-103054745.45541826</v>
      </c>
      <c r="G48" s="92">
        <f>'P&amp;L'!C26*1.5*((1-(1+0.18)^(-Input!C23))/0.18)-'Cost sheet'!C15</f>
        <v>-105875694.5465019</v>
      </c>
      <c r="H48" s="92">
        <f>'P&amp;L'!C26*2*((1-(1+0.18)^(-Input!C23))/0.18)-'Cost sheet'!C15</f>
        <v>-111517592.72866921</v>
      </c>
      <c r="I48" s="92">
        <f>'P&amp;L'!C26*2.5*((1-(1+0.18)^(-Input!C23))/0.18)-'Cost sheet'!C15</f>
        <v>-117159490.91083652</v>
      </c>
      <c r="J48" s="267">
        <f>'P&amp;L'!C26*3*((1-(1+0.18)^(-Input!C23))/0.18)-'Cost sheet'!C15</f>
        <v>-122801389.09300381</v>
      </c>
    </row>
    <row r="49" spans="2:10" ht="15.6" thickBot="1" x14ac:dyDescent="0.35">
      <c r="B49" s="314" t="s">
        <v>699</v>
      </c>
      <c r="C49" s="106">
        <f>'P&amp;L'!C26*0.5*((1-(1+0.2)^(-Input!C23))/0.2)-'Cost sheet'!C15</f>
        <v>-94285587.693356127</v>
      </c>
      <c r="D49" s="106">
        <f>'P&amp;L'!C26*0.75*((1-(1+0.2)^(-Input!C23))/0.2)-'Cost sheet'!C15</f>
        <v>-96953381.54003419</v>
      </c>
      <c r="E49" s="106">
        <f>'P&amp;L'!C26*1*((1-(1+0.2)^(-Input!C23))/0.2)-'Cost sheet'!C15</f>
        <v>-99621175.386712253</v>
      </c>
      <c r="F49" s="106">
        <f>'P&amp;L'!C26*1.25*((1-(1+0.2)^(-Input!C23))/0.2)-'Cost sheet'!C15</f>
        <v>-102288969.23339032</v>
      </c>
      <c r="G49" s="106">
        <f>'P&amp;L'!C26*1.5*((1-(1+0.2)^(-Input!C23))/0.2)-'Cost sheet'!C15</f>
        <v>-104956763.08006838</v>
      </c>
      <c r="H49" s="106">
        <f>'P&amp;L'!C26*2*((1-(1+0.2)^(-Input!C23))/0.2)-'Cost sheet'!C15</f>
        <v>-110292350.77342452</v>
      </c>
      <c r="I49" s="106">
        <f>'P&amp;L'!C26*2.5*((1-(1+0.2)^(-Input!C23))/0.2)-'Cost sheet'!C15</f>
        <v>-115627938.46678065</v>
      </c>
      <c r="J49" s="315">
        <f>'P&amp;L'!C26*3*((1-(1+0.2)^(-Input!C23))/0.2)-'Cost sheet'!C15</f>
        <v>-120963526.16013677</v>
      </c>
    </row>
    <row r="50" spans="2:10" x14ac:dyDescent="0.3">
      <c r="B50" s="222"/>
      <c r="C50" s="222"/>
      <c r="D50" s="222"/>
      <c r="E50" s="222"/>
      <c r="F50" s="222"/>
      <c r="G50" s="222"/>
      <c r="H50" s="222"/>
      <c r="I50" s="222"/>
      <c r="J50" s="222"/>
    </row>
    <row r="51" spans="2:10" x14ac:dyDescent="0.3">
      <c r="B51" s="3"/>
      <c r="C51" s="312"/>
      <c r="D51" s="312"/>
      <c r="E51" s="312"/>
      <c r="F51" s="312"/>
      <c r="G51" s="312"/>
      <c r="H51" s="312"/>
      <c r="I51" s="312"/>
      <c r="J51" s="312"/>
    </row>
    <row r="52" spans="2:10" x14ac:dyDescent="0.3">
      <c r="B52" s="311" t="s">
        <v>745</v>
      </c>
    </row>
    <row r="53" spans="2:10" ht="15.6" x14ac:dyDescent="0.3">
      <c r="B53" s="310" t="s">
        <v>746</v>
      </c>
      <c r="C53" s="21"/>
      <c r="D53" s="21"/>
      <c r="E53" s="21"/>
      <c r="F53" s="21"/>
      <c r="G53" s="21"/>
      <c r="H53" s="21"/>
      <c r="I53" s="21"/>
    </row>
    <row r="54" spans="2:10" ht="15.6" x14ac:dyDescent="0.3">
      <c r="B54" s="310" t="s">
        <v>747</v>
      </c>
      <c r="C54" s="21"/>
      <c r="D54" s="21"/>
      <c r="E54" s="21"/>
      <c r="F54" s="21"/>
      <c r="G54" s="21"/>
      <c r="H54" s="21"/>
      <c r="I54" s="21"/>
    </row>
    <row r="55" spans="2:10" ht="15.6" x14ac:dyDescent="0.3">
      <c r="B55" s="310" t="s">
        <v>748</v>
      </c>
      <c r="C55" s="21"/>
      <c r="D55" s="21"/>
      <c r="E55" s="21"/>
      <c r="F55" s="21"/>
      <c r="G55" s="21"/>
      <c r="H55" s="21"/>
      <c r="I55" s="21"/>
    </row>
    <row r="56" spans="2:10" ht="15.6" x14ac:dyDescent="0.3">
      <c r="B56" s="310" t="s">
        <v>749</v>
      </c>
      <c r="C56" s="21"/>
      <c r="D56" s="21"/>
      <c r="E56" s="21"/>
      <c r="F56" s="21"/>
      <c r="G56" s="21"/>
      <c r="H56" s="21"/>
      <c r="I56" s="21"/>
    </row>
  </sheetData>
  <mergeCells count="6">
    <mergeCell ref="B40:J40"/>
    <mergeCell ref="B5:J5"/>
    <mergeCell ref="B17:J17"/>
    <mergeCell ref="B29:J29"/>
    <mergeCell ref="B2:I2"/>
    <mergeCell ref="B3:I3"/>
  </mergeCells>
  <conditionalFormatting sqref="B5:J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J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J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J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1" location="'Navigation Tab'!A1" display="Navigation Tab" xr:uid="{C2779A4A-AF98-4F15-B1C2-B34D83DD6288}"/>
  </hyperlinks>
  <pageMargins left="0.75" right="0.75" top="1" bottom="1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B1:J49"/>
  <sheetViews>
    <sheetView showGridLines="0" zoomScale="85" zoomScaleNormal="85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49.33203125" bestFit="1" customWidth="1"/>
    <col min="3" max="3" width="17.109375" bestFit="1" customWidth="1"/>
    <col min="4" max="4" width="20" bestFit="1" customWidth="1"/>
    <col min="5" max="5" width="17.6640625" customWidth="1"/>
    <col min="6" max="6" width="18.44140625" customWidth="1"/>
    <col min="7" max="10" width="16.88671875" bestFit="1" customWidth="1"/>
  </cols>
  <sheetData>
    <row r="1" spans="2:10" ht="21.6" thickBot="1" x14ac:dyDescent="0.45">
      <c r="B1" s="384" t="s">
        <v>1005</v>
      </c>
    </row>
    <row r="2" spans="2:10" ht="21" x14ac:dyDescent="0.3">
      <c r="B2" s="482" t="s">
        <v>750</v>
      </c>
      <c r="C2" s="483"/>
      <c r="D2" s="483"/>
      <c r="E2" s="483"/>
      <c r="F2" s="483"/>
      <c r="G2" s="483"/>
      <c r="H2" s="483"/>
      <c r="I2" s="483"/>
      <c r="J2" s="484"/>
    </row>
    <row r="3" spans="2:10" ht="16.2" thickBot="1" x14ac:dyDescent="0.35">
      <c r="B3" s="536" t="s">
        <v>751</v>
      </c>
      <c r="C3" s="537"/>
      <c r="D3" s="537"/>
      <c r="E3" s="537"/>
      <c r="F3" s="537"/>
      <c r="G3" s="537"/>
      <c r="H3" s="537"/>
      <c r="I3" s="537"/>
      <c r="J3" s="538"/>
    </row>
    <row r="4" spans="2:10" ht="15" thickBot="1" x14ac:dyDescent="0.35"/>
    <row r="5" spans="2:10" ht="17.399999999999999" x14ac:dyDescent="0.3">
      <c r="B5" s="539" t="s">
        <v>752</v>
      </c>
      <c r="C5" s="540"/>
      <c r="D5" s="540"/>
      <c r="E5" s="540"/>
      <c r="F5" s="540"/>
      <c r="G5" s="540"/>
      <c r="H5" s="540"/>
      <c r="I5" s="540"/>
      <c r="J5" s="541"/>
    </row>
    <row r="6" spans="2:10" ht="31.2" x14ac:dyDescent="0.3">
      <c r="B6" s="103" t="s">
        <v>394</v>
      </c>
      <c r="C6" s="91" t="s">
        <v>753</v>
      </c>
      <c r="D6" s="91" t="s">
        <v>341</v>
      </c>
      <c r="E6" s="91" t="s">
        <v>342</v>
      </c>
      <c r="F6" s="91" t="s">
        <v>343</v>
      </c>
      <c r="G6" s="91" t="s">
        <v>344</v>
      </c>
      <c r="H6" s="91" t="s">
        <v>345</v>
      </c>
      <c r="I6" s="91" t="s">
        <v>754</v>
      </c>
      <c r="J6" s="104" t="s">
        <v>755</v>
      </c>
    </row>
    <row r="7" spans="2:10" ht="15.6" x14ac:dyDescent="0.3">
      <c r="B7" s="307" t="s">
        <v>756</v>
      </c>
      <c r="C7" s="316">
        <f>-'Cost sheet'!C15</f>
        <v>-88950000</v>
      </c>
      <c r="D7" s="92">
        <f>0</f>
        <v>0</v>
      </c>
      <c r="E7" s="92">
        <f>0</f>
        <v>0</v>
      </c>
      <c r="F7" s="92">
        <f>0</f>
        <v>0</v>
      </c>
      <c r="G7" s="92">
        <f>0</f>
        <v>0</v>
      </c>
      <c r="H7" s="92">
        <f>0</f>
        <v>0</v>
      </c>
      <c r="I7" s="92">
        <f>0</f>
        <v>0</v>
      </c>
      <c r="J7" s="267">
        <f>0</f>
        <v>0</v>
      </c>
    </row>
    <row r="8" spans="2:10" ht="15" x14ac:dyDescent="0.3">
      <c r="B8" s="61" t="s">
        <v>757</v>
      </c>
      <c r="C8" s="92">
        <f>0</f>
        <v>0</v>
      </c>
      <c r="D8" s="110">
        <f>'P&amp;L'!C10</f>
        <v>10636200</v>
      </c>
      <c r="E8" s="110">
        <f>'P&amp;L'!D10</f>
        <v>11168010</v>
      </c>
      <c r="F8" s="110">
        <f>'P&amp;L'!E10</f>
        <v>11726410.5</v>
      </c>
      <c r="G8" s="110">
        <f>'P&amp;L'!F10</f>
        <v>12312731.025</v>
      </c>
      <c r="H8" s="110">
        <f>'P&amp;L'!G10</f>
        <v>12928367.57625</v>
      </c>
      <c r="I8" s="92">
        <f>G8*(1+Input!C18)^1</f>
        <v>12928367.576250002</v>
      </c>
      <c r="J8" s="267">
        <f>G8*(1+Input!C18)^2</f>
        <v>13574785.955062501</v>
      </c>
    </row>
    <row r="9" spans="2:10" ht="15" x14ac:dyDescent="0.3">
      <c r="B9" s="61" t="s">
        <v>758</v>
      </c>
      <c r="C9" s="92">
        <f>0</f>
        <v>0</v>
      </c>
      <c r="D9" s="92">
        <f>'P&amp;L'!C13</f>
        <v>864000</v>
      </c>
      <c r="E9" s="92">
        <f>'P&amp;L'!D13</f>
        <v>907200</v>
      </c>
      <c r="F9" s="92">
        <f>'P&amp;L'!E13</f>
        <v>952560</v>
      </c>
      <c r="G9" s="92">
        <f>'P&amp;L'!F13</f>
        <v>1000188.0000000001</v>
      </c>
      <c r="H9" s="92">
        <f>'P&amp;L'!G13</f>
        <v>1050197.3999999999</v>
      </c>
      <c r="I9" s="92">
        <f>G9*(1+Input!C19)^1</f>
        <v>1050197.4000000001</v>
      </c>
      <c r="J9" s="267">
        <f>G9*(1+Input!C19)^2</f>
        <v>1102707.2700000003</v>
      </c>
    </row>
    <row r="10" spans="2:10" ht="15" x14ac:dyDescent="0.3">
      <c r="B10" s="61" t="s">
        <v>759</v>
      </c>
      <c r="C10" s="92">
        <f>0</f>
        <v>0</v>
      </c>
      <c r="D10" s="92">
        <f>'P&amp;L'!C24</f>
        <v>12732639.374518419</v>
      </c>
      <c r="E10" s="92">
        <f>'P&amp;L'!D24</f>
        <v>12921039.374518419</v>
      </c>
      <c r="F10" s="92">
        <f>'P&amp;L'!E24</f>
        <v>13118859.374518419</v>
      </c>
      <c r="G10" s="92">
        <f>'P&amp;L'!F24</f>
        <v>13326570.374518419</v>
      </c>
      <c r="H10" s="92">
        <f>'P&amp;L'!G24</f>
        <v>13544666.924518419</v>
      </c>
      <c r="I10" s="92">
        <f>G10*(1+Input!C19)^1</f>
        <v>13992898.893244341</v>
      </c>
      <c r="J10" s="267">
        <f>G10*(1+Input!C19)^2</f>
        <v>14692543.837906556</v>
      </c>
    </row>
    <row r="11" spans="2:10" ht="15.6" x14ac:dyDescent="0.3">
      <c r="B11" s="289" t="s">
        <v>267</v>
      </c>
      <c r="C11" s="190">
        <f>0</f>
        <v>0</v>
      </c>
      <c r="D11" s="190">
        <f t="shared" ref="D11:J11" si="0">D8-D9-D10</f>
        <v>-2960439.3745184187</v>
      </c>
      <c r="E11" s="190">
        <f t="shared" si="0"/>
        <v>-2660229.3745184187</v>
      </c>
      <c r="F11" s="190">
        <f t="shared" si="0"/>
        <v>-2345008.8745184187</v>
      </c>
      <c r="G11" s="190">
        <f t="shared" si="0"/>
        <v>-2014027.3495184183</v>
      </c>
      <c r="H11" s="190">
        <f t="shared" si="0"/>
        <v>-1666496.7482684199</v>
      </c>
      <c r="I11" s="190">
        <f t="shared" si="0"/>
        <v>-2114728.7169943396</v>
      </c>
      <c r="J11" s="318">
        <f t="shared" si="0"/>
        <v>-2220465.1528440546</v>
      </c>
    </row>
    <row r="12" spans="2:10" ht="15" x14ac:dyDescent="0.3">
      <c r="B12" s="61" t="s">
        <v>760</v>
      </c>
      <c r="C12" s="92">
        <f>0</f>
        <v>0</v>
      </c>
      <c r="D12" s="92">
        <f>'P&amp;L'!C33</f>
        <v>1622500</v>
      </c>
      <c r="E12" s="92">
        <f>'P&amp;L'!D33</f>
        <v>1440825</v>
      </c>
      <c r="F12" s="92">
        <f>'P&amp;L'!E33</f>
        <v>1306102.75</v>
      </c>
      <c r="G12" s="92">
        <f>'P&amp;L'!F33</f>
        <v>1205438.8425</v>
      </c>
      <c r="H12" s="92">
        <f>'P&amp;L'!G33</f>
        <v>1129674.0244749999</v>
      </c>
      <c r="I12" s="92">
        <f>0</f>
        <v>0</v>
      </c>
      <c r="J12" s="267">
        <f>0</f>
        <v>0</v>
      </c>
    </row>
    <row r="13" spans="2:10" ht="15" x14ac:dyDescent="0.3">
      <c r="B13" s="61" t="s">
        <v>761</v>
      </c>
      <c r="C13" s="92">
        <f>0</f>
        <v>0</v>
      </c>
      <c r="D13" s="92">
        <f>'P&amp;L'!C39</f>
        <v>5337000</v>
      </c>
      <c r="E13" s="92">
        <f>'P&amp;L'!D39</f>
        <v>4574571.4285714291</v>
      </c>
      <c r="F13" s="92">
        <f>'P&amp;L'!E39</f>
        <v>3812142.8571428573</v>
      </c>
      <c r="G13" s="92">
        <f>'P&amp;L'!F39</f>
        <v>3049714.2857142854</v>
      </c>
      <c r="H13" s="92">
        <f>'P&amp;L'!G39</f>
        <v>2287285.7142857146</v>
      </c>
      <c r="I13" s="92">
        <f>IFERROR('Cost sheet'!C79*Input!C22*(1-(6-1)/Input!C23),0)</f>
        <v>1524857.1428571427</v>
      </c>
      <c r="J13" s="267">
        <f>IFERROR('Cost sheet'!C79*Input!C22*(1-(7-1)/Input!C23),0)</f>
        <v>762428.57142857171</v>
      </c>
    </row>
    <row r="14" spans="2:10" ht="15.6" x14ac:dyDescent="0.3">
      <c r="B14" s="289" t="s">
        <v>762</v>
      </c>
      <c r="C14" s="190">
        <f>0</f>
        <v>0</v>
      </c>
      <c r="D14" s="190">
        <f t="shared" ref="D14:J14" si="1">D11-D12-D13</f>
        <v>-9919939.3745184187</v>
      </c>
      <c r="E14" s="190">
        <f t="shared" si="1"/>
        <v>-8675625.8030898478</v>
      </c>
      <c r="F14" s="190">
        <f t="shared" si="1"/>
        <v>-7463254.481661276</v>
      </c>
      <c r="G14" s="190">
        <f t="shared" si="1"/>
        <v>-6269180.477732704</v>
      </c>
      <c r="H14" s="190">
        <f t="shared" si="1"/>
        <v>-5083456.4870291343</v>
      </c>
      <c r="I14" s="190">
        <f t="shared" si="1"/>
        <v>-3639585.8598514823</v>
      </c>
      <c r="J14" s="318">
        <f t="shared" si="1"/>
        <v>-2982893.7242726265</v>
      </c>
    </row>
    <row r="15" spans="2:10" ht="15" x14ac:dyDescent="0.3">
      <c r="B15" s="61" t="s">
        <v>763</v>
      </c>
      <c r="C15" s="92">
        <f>0</f>
        <v>0</v>
      </c>
      <c r="D15" s="92">
        <f>MAX(0,D14*Input!C21)</f>
        <v>0</v>
      </c>
      <c r="E15" s="92">
        <f>MAX(0,E14*Input!C21)</f>
        <v>0</v>
      </c>
      <c r="F15" s="92">
        <f>MAX(0,F14*Input!C21)</f>
        <v>0</v>
      </c>
      <c r="G15" s="92">
        <f>MAX(0,G14*Input!C21)</f>
        <v>0</v>
      </c>
      <c r="H15" s="92">
        <f>MAX(0,H14*Input!C21)</f>
        <v>0</v>
      </c>
      <c r="I15" s="92">
        <f>MAX(0,I14*Input!C21)</f>
        <v>0</v>
      </c>
      <c r="J15" s="267">
        <f>MAX(0,J14*Input!C21)</f>
        <v>0</v>
      </c>
    </row>
    <row r="16" spans="2:10" ht="15.6" x14ac:dyDescent="0.3">
      <c r="B16" s="137" t="s">
        <v>764</v>
      </c>
      <c r="C16" s="166">
        <f>0</f>
        <v>0</v>
      </c>
      <c r="D16" s="166">
        <f t="shared" ref="D16:J16" si="2">D14-D15</f>
        <v>-9919939.3745184187</v>
      </c>
      <c r="E16" s="166">
        <f t="shared" si="2"/>
        <v>-8675625.8030898478</v>
      </c>
      <c r="F16" s="166">
        <f t="shared" si="2"/>
        <v>-7463254.481661276</v>
      </c>
      <c r="G16" s="166">
        <f t="shared" si="2"/>
        <v>-6269180.477732704</v>
      </c>
      <c r="H16" s="166">
        <f t="shared" si="2"/>
        <v>-5083456.4870291343</v>
      </c>
      <c r="I16" s="166">
        <f t="shared" si="2"/>
        <v>-3639585.8598514823</v>
      </c>
      <c r="J16" s="177">
        <f t="shared" si="2"/>
        <v>-2982893.7242726265</v>
      </c>
    </row>
    <row r="17" spans="2:10" ht="15" x14ac:dyDescent="0.3">
      <c r="B17" s="61" t="s">
        <v>765</v>
      </c>
      <c r="C17" s="92">
        <f>0</f>
        <v>0</v>
      </c>
      <c r="D17" s="12">
        <f t="shared" ref="D17:J17" si="3">D12</f>
        <v>1622500</v>
      </c>
      <c r="E17" s="12">
        <f t="shared" si="3"/>
        <v>1440825</v>
      </c>
      <c r="F17" s="12">
        <f t="shared" si="3"/>
        <v>1306102.75</v>
      </c>
      <c r="G17" s="12">
        <f t="shared" si="3"/>
        <v>1205438.8425</v>
      </c>
      <c r="H17" s="12">
        <f t="shared" si="3"/>
        <v>1129674.0244749999</v>
      </c>
      <c r="I17" s="12">
        <f t="shared" si="3"/>
        <v>0</v>
      </c>
      <c r="J17" s="62">
        <f t="shared" si="3"/>
        <v>0</v>
      </c>
    </row>
    <row r="18" spans="2:10" ht="15" x14ac:dyDescent="0.3">
      <c r="B18" s="61" t="s">
        <v>766</v>
      </c>
      <c r="C18" s="92">
        <f>0</f>
        <v>0</v>
      </c>
      <c r="D18" s="92">
        <f>0</f>
        <v>0</v>
      </c>
      <c r="E18" s="92">
        <f>0</f>
        <v>0</v>
      </c>
      <c r="F18" s="92">
        <f>0</f>
        <v>0</v>
      </c>
      <c r="G18" s="92">
        <f>0</f>
        <v>0</v>
      </c>
      <c r="H18" s="92">
        <f>0</f>
        <v>0</v>
      </c>
      <c r="I18" s="92">
        <f>0</f>
        <v>0</v>
      </c>
      <c r="J18" s="319">
        <f>'Cost sheet'!C15*0.1</f>
        <v>8895000</v>
      </c>
    </row>
    <row r="19" spans="2:10" ht="16.2" thickBot="1" x14ac:dyDescent="0.35">
      <c r="B19" s="320" t="s">
        <v>767</v>
      </c>
      <c r="C19" s="225">
        <f>C7+C16+C17+C18</f>
        <v>-88950000</v>
      </c>
      <c r="D19" s="225">
        <f t="shared" ref="D19:J19" si="4">D7+D16+D17+D18</f>
        <v>-8297439.3745184187</v>
      </c>
      <c r="E19" s="225">
        <f t="shared" si="4"/>
        <v>-7234800.8030898478</v>
      </c>
      <c r="F19" s="225">
        <f t="shared" si="4"/>
        <v>-6157151.731661276</v>
      </c>
      <c r="G19" s="225">
        <f t="shared" si="4"/>
        <v>-5063741.6352327038</v>
      </c>
      <c r="H19" s="225">
        <f t="shared" si="4"/>
        <v>-3953782.4625541344</v>
      </c>
      <c r="I19" s="225">
        <f t="shared" si="4"/>
        <v>-3639585.8598514823</v>
      </c>
      <c r="J19" s="321">
        <f t="shared" si="4"/>
        <v>5912106.2757273735</v>
      </c>
    </row>
    <row r="20" spans="2:10" ht="15" thickBot="1" x14ac:dyDescent="0.35">
      <c r="B20" s="282"/>
      <c r="C20" s="282"/>
      <c r="D20" s="282"/>
      <c r="E20" s="282"/>
      <c r="F20" s="282"/>
      <c r="G20" s="282"/>
      <c r="H20" s="282"/>
      <c r="I20" s="282"/>
      <c r="J20" s="282"/>
    </row>
    <row r="21" spans="2:10" ht="17.399999999999999" x14ac:dyDescent="0.3">
      <c r="B21" s="539" t="s">
        <v>768</v>
      </c>
      <c r="C21" s="540"/>
      <c r="D21" s="540"/>
      <c r="E21" s="540"/>
      <c r="F21" s="540"/>
      <c r="G21" s="540"/>
      <c r="H21" s="540"/>
      <c r="I21" s="540"/>
      <c r="J21" s="541"/>
    </row>
    <row r="22" spans="2:10" ht="15.6" x14ac:dyDescent="0.3">
      <c r="B22" s="103" t="s">
        <v>291</v>
      </c>
      <c r="C22" s="91" t="s">
        <v>769</v>
      </c>
      <c r="D22" s="91" t="s">
        <v>770</v>
      </c>
      <c r="E22" s="91" t="s">
        <v>771</v>
      </c>
      <c r="F22" s="91" t="s">
        <v>772</v>
      </c>
      <c r="G22" s="91" t="s">
        <v>773</v>
      </c>
      <c r="H22" s="91" t="s">
        <v>774</v>
      </c>
      <c r="I22" s="91" t="s">
        <v>775</v>
      </c>
      <c r="J22" s="104" t="s">
        <v>776</v>
      </c>
    </row>
    <row r="23" spans="2:10" ht="15" x14ac:dyDescent="0.3">
      <c r="B23" s="61" t="s">
        <v>777</v>
      </c>
      <c r="C23" s="317">
        <f>1</f>
        <v>1</v>
      </c>
      <c r="D23" s="317">
        <f>1/(1+Input!C20)^1</f>
        <v>0.90497737556561086</v>
      </c>
      <c r="E23" s="317">
        <f>1/(1+Input!C20)^2</f>
        <v>0.81898405028562071</v>
      </c>
      <c r="F23" s="317">
        <f>1/(1+Input!C20)^3</f>
        <v>0.74116203645757528</v>
      </c>
      <c r="G23" s="317">
        <f>1/(1+Input!C20)^4</f>
        <v>0.67073487462224002</v>
      </c>
      <c r="H23" s="317">
        <f>1/(1+Input!C20)^5</f>
        <v>0.60699988653596382</v>
      </c>
      <c r="I23" s="317">
        <f>1/(1+Input!C20)^6</f>
        <v>0.54932116428594002</v>
      </c>
      <c r="J23" s="322">
        <f>1/(1+Input!C20)^7</f>
        <v>0.49712322559813582</v>
      </c>
    </row>
    <row r="24" spans="2:10" ht="15" x14ac:dyDescent="0.3">
      <c r="B24" s="61" t="s">
        <v>778</v>
      </c>
      <c r="C24" s="92">
        <f>C19*C23</f>
        <v>-88950000</v>
      </c>
      <c r="D24" s="92">
        <f t="shared" ref="D24:J24" si="5">D19*D23</f>
        <v>-7508994.9090664424</v>
      </c>
      <c r="E24" s="92">
        <f t="shared" si="5"/>
        <v>-5925186.4647241849</v>
      </c>
      <c r="F24" s="92">
        <f t="shared" si="5"/>
        <v>-4563447.1162163578</v>
      </c>
      <c r="G24" s="92">
        <f t="shared" si="5"/>
        <v>-3396428.1108272243</v>
      </c>
      <c r="H24" s="92">
        <f t="shared" si="5"/>
        <v>-2399945.5061582434</v>
      </c>
      <c r="I24" s="92">
        <f t="shared" si="5"/>
        <v>-1999301.5420522604</v>
      </c>
      <c r="J24" s="267">
        <f t="shared" si="5"/>
        <v>2939045.3418685738</v>
      </c>
    </row>
    <row r="25" spans="2:10" ht="15.6" thickBot="1" x14ac:dyDescent="0.35">
      <c r="B25" s="48" t="s">
        <v>779</v>
      </c>
      <c r="C25" s="263">
        <f>C24</f>
        <v>-88950000</v>
      </c>
      <c r="D25" s="263">
        <f t="shared" ref="D25:J25" si="6">C25+D24</f>
        <v>-96458994.909066439</v>
      </c>
      <c r="E25" s="263">
        <f t="shared" si="6"/>
        <v>-102384181.37379062</v>
      </c>
      <c r="F25" s="263">
        <f t="shared" si="6"/>
        <v>-106947628.49000698</v>
      </c>
      <c r="G25" s="263">
        <f t="shared" si="6"/>
        <v>-110344056.60083421</v>
      </c>
      <c r="H25" s="263">
        <f t="shared" si="6"/>
        <v>-112744002.10699245</v>
      </c>
      <c r="I25" s="263">
        <f t="shared" si="6"/>
        <v>-114743303.64904471</v>
      </c>
      <c r="J25" s="240">
        <f t="shared" si="6"/>
        <v>-111804258.30717613</v>
      </c>
    </row>
    <row r="26" spans="2:10" ht="15" thickBot="1" x14ac:dyDescent="0.35">
      <c r="B26" s="282"/>
      <c r="C26" s="282"/>
      <c r="D26" s="282"/>
      <c r="E26" s="282"/>
      <c r="F26" s="282"/>
      <c r="G26" s="282"/>
      <c r="H26" s="222"/>
      <c r="I26" s="222"/>
      <c r="J26" s="222"/>
    </row>
    <row r="27" spans="2:10" ht="17.399999999999999" x14ac:dyDescent="0.3">
      <c r="B27" s="497" t="s">
        <v>780</v>
      </c>
      <c r="C27" s="498"/>
      <c r="D27" s="498"/>
      <c r="E27" s="498"/>
      <c r="F27" s="498"/>
      <c r="G27" s="499"/>
    </row>
    <row r="28" spans="2:10" ht="15.6" x14ac:dyDescent="0.3">
      <c r="B28" s="382" t="s">
        <v>320</v>
      </c>
      <c r="C28" s="372" t="s">
        <v>6</v>
      </c>
      <c r="D28" s="372" t="s">
        <v>382</v>
      </c>
      <c r="E28" s="545" t="s">
        <v>578</v>
      </c>
      <c r="F28" s="545"/>
      <c r="G28" s="546"/>
    </row>
    <row r="29" spans="2:10" ht="15.6" x14ac:dyDescent="0.3">
      <c r="B29" s="81" t="s">
        <v>781</v>
      </c>
      <c r="C29" s="362">
        <f>'Cost sheet'!C15</f>
        <v>88950000</v>
      </c>
      <c r="D29" s="373">
        <f>'Cost sheet'!C15</f>
        <v>88950000</v>
      </c>
      <c r="E29" s="547" t="s">
        <v>782</v>
      </c>
      <c r="F29" s="547"/>
      <c r="G29" s="548"/>
    </row>
    <row r="30" spans="2:10" ht="15.6" x14ac:dyDescent="0.3">
      <c r="B30" s="365" t="s">
        <v>783</v>
      </c>
      <c r="C30" s="374">
        <f>C24+NPV(Input!C20,D19:J19)</f>
        <v>-111804258.30717614</v>
      </c>
      <c r="D30" s="380">
        <f>C24+NPV(Input!C20,D19:J19)</f>
        <v>-111804258.30717614</v>
      </c>
      <c r="E30" s="547" t="s">
        <v>784</v>
      </c>
      <c r="F30" s="547"/>
      <c r="G30" s="548"/>
    </row>
    <row r="31" spans="2:10" ht="15.6" x14ac:dyDescent="0.3">
      <c r="B31" s="365" t="s">
        <v>785</v>
      </c>
      <c r="C31" s="375" t="str">
        <f>IFERROR(IRR(C19:J19),"Loss-making")</f>
        <v>Loss-making</v>
      </c>
      <c r="D31" s="376" t="str">
        <f>IFERROR(IRR(C19:J19),"Loss-making")</f>
        <v>Loss-making</v>
      </c>
      <c r="E31" s="547" t="s">
        <v>786</v>
      </c>
      <c r="F31" s="547"/>
      <c r="G31" s="548"/>
    </row>
    <row r="32" spans="2:10" ht="15.6" x14ac:dyDescent="0.3">
      <c r="B32" s="81" t="s">
        <v>787</v>
      </c>
      <c r="C32" s="377">
        <f>WACC!C13</f>
        <v>0.10500000000000001</v>
      </c>
      <c r="D32" s="378">
        <f>Input!C20</f>
        <v>0.10500000000000001</v>
      </c>
      <c r="E32" s="547" t="s">
        <v>788</v>
      </c>
      <c r="F32" s="547"/>
      <c r="G32" s="548"/>
    </row>
    <row r="33" spans="2:10" ht="15.6" x14ac:dyDescent="0.3">
      <c r="B33" s="365" t="s">
        <v>789</v>
      </c>
      <c r="C33" s="379">
        <f>IFERROR((C24+NPV(Input!C20,D19:J19)+'Cost sheet'!C15)/'Cost sheet'!C15,0)</f>
        <v>-0.25693376399298645</v>
      </c>
      <c r="D33" s="380">
        <f>IFERROR((C24+NPV(Input!C20,D19:J19)+'Cost sheet'!C15)/'Cost sheet'!C15,0)</f>
        <v>-0.25693376399298645</v>
      </c>
      <c r="E33" s="547" t="s">
        <v>790</v>
      </c>
      <c r="F33" s="547"/>
      <c r="G33" s="548"/>
    </row>
    <row r="34" spans="2:10" ht="15.6" x14ac:dyDescent="0.3">
      <c r="B34" s="81" t="s">
        <v>791</v>
      </c>
      <c r="C34" s="381">
        <f>IFERROR(AVERAGE(D16:J16)/'Cost sheet'!C15,0)</f>
        <v>-7.0720205907260067E-2</v>
      </c>
      <c r="D34" s="376">
        <f>IFERROR(AVERAGE(D16:J16)/'Cost sheet'!C15,0)</f>
        <v>-7.0720205907260067E-2</v>
      </c>
      <c r="E34" s="547" t="s">
        <v>792</v>
      </c>
      <c r="F34" s="547"/>
      <c r="G34" s="548"/>
    </row>
    <row r="35" spans="2:10" ht="15.6" x14ac:dyDescent="0.3">
      <c r="B35" s="81" t="s">
        <v>793</v>
      </c>
      <c r="C35" s="362">
        <f>'P&amp;L'!G45</f>
        <v>-37411456.62403138</v>
      </c>
      <c r="D35" s="373">
        <f>'P&amp;L'!G45</f>
        <v>-37411456.62403138</v>
      </c>
      <c r="E35" s="547" t="s">
        <v>794</v>
      </c>
      <c r="F35" s="547"/>
      <c r="G35" s="548"/>
    </row>
    <row r="36" spans="2:10" ht="16.2" thickBot="1" x14ac:dyDescent="0.35">
      <c r="B36" s="84" t="s">
        <v>795</v>
      </c>
      <c r="C36" s="367">
        <f>'P&amp;L'!H10</f>
        <v>58771719.10125</v>
      </c>
      <c r="D36" s="383">
        <f>'P&amp;L'!H10</f>
        <v>58771719.10125</v>
      </c>
      <c r="E36" s="549" t="s">
        <v>796</v>
      </c>
      <c r="F36" s="549"/>
      <c r="G36" s="550"/>
    </row>
    <row r="37" spans="2:10" ht="15" thickBot="1" x14ac:dyDescent="0.35">
      <c r="B37" s="282"/>
      <c r="C37" s="282"/>
      <c r="D37" s="282"/>
      <c r="E37" s="282"/>
      <c r="F37" s="282"/>
      <c r="G37" s="282"/>
      <c r="H37" s="296"/>
      <c r="I37" s="296"/>
      <c r="J37" s="296"/>
    </row>
    <row r="38" spans="2:10" ht="17.399999999999999" x14ac:dyDescent="0.3">
      <c r="B38" s="497" t="s">
        <v>797</v>
      </c>
      <c r="C38" s="498"/>
      <c r="D38" s="498"/>
      <c r="E38" s="498"/>
      <c r="F38" s="498"/>
      <c r="G38" s="499"/>
      <c r="H38" s="497"/>
      <c r="I38" s="498"/>
      <c r="J38" s="498"/>
    </row>
    <row r="39" spans="2:10" ht="15.6" x14ac:dyDescent="0.3">
      <c r="B39" s="103" t="s">
        <v>336</v>
      </c>
      <c r="C39" s="91" t="s">
        <v>769</v>
      </c>
      <c r="D39" s="91" t="s">
        <v>770</v>
      </c>
      <c r="E39" s="91" t="s">
        <v>771</v>
      </c>
      <c r="F39" s="91" t="s">
        <v>772</v>
      </c>
      <c r="G39" s="91" t="s">
        <v>773</v>
      </c>
      <c r="H39" s="91" t="s">
        <v>774</v>
      </c>
      <c r="I39" s="91" t="s">
        <v>775</v>
      </c>
      <c r="J39" s="104" t="s">
        <v>776</v>
      </c>
    </row>
    <row r="40" spans="2:10" ht="15" x14ac:dyDescent="0.3">
      <c r="B40" s="61" t="s">
        <v>798</v>
      </c>
      <c r="C40" s="12">
        <f>C19</f>
        <v>-88950000</v>
      </c>
      <c r="D40" s="12">
        <f t="shared" ref="D40:J40" si="7">D19</f>
        <v>-8297439.3745184187</v>
      </c>
      <c r="E40" s="12">
        <f t="shared" si="7"/>
        <v>-7234800.8030898478</v>
      </c>
      <c r="F40" s="12">
        <f t="shared" si="7"/>
        <v>-6157151.731661276</v>
      </c>
      <c r="G40" s="12">
        <f t="shared" si="7"/>
        <v>-5063741.6352327038</v>
      </c>
      <c r="H40" s="12">
        <f t="shared" si="7"/>
        <v>-3953782.4625541344</v>
      </c>
      <c r="I40" s="12">
        <f t="shared" si="7"/>
        <v>-3639585.8598514823</v>
      </c>
      <c r="J40" s="62">
        <f t="shared" si="7"/>
        <v>5912106.2757273735</v>
      </c>
    </row>
    <row r="41" spans="2:10" ht="15.6" x14ac:dyDescent="0.3">
      <c r="B41" s="61" t="s">
        <v>799</v>
      </c>
      <c r="C41" s="183">
        <f>C19</f>
        <v>-88950000</v>
      </c>
      <c r="D41" s="183">
        <f t="shared" ref="D41:J41" si="8">C41+D19</f>
        <v>-97247439.374518424</v>
      </c>
      <c r="E41" s="183">
        <f t="shared" si="8"/>
        <v>-104482240.17760827</v>
      </c>
      <c r="F41" s="183">
        <f t="shared" si="8"/>
        <v>-110639391.90926954</v>
      </c>
      <c r="G41" s="183">
        <f t="shared" si="8"/>
        <v>-115703133.54450224</v>
      </c>
      <c r="H41" s="183">
        <f t="shared" si="8"/>
        <v>-119656916.00705639</v>
      </c>
      <c r="I41" s="183">
        <f t="shared" si="8"/>
        <v>-123296501.86690786</v>
      </c>
      <c r="J41" s="195">
        <f t="shared" si="8"/>
        <v>-117384395.59118049</v>
      </c>
    </row>
    <row r="42" spans="2:10" ht="15" x14ac:dyDescent="0.3">
      <c r="B42" s="61" t="s">
        <v>800</v>
      </c>
      <c r="C42" s="277">
        <f t="shared" ref="C42:J42" si="9">C25</f>
        <v>-88950000</v>
      </c>
      <c r="D42" s="277">
        <f t="shared" si="9"/>
        <v>-96458994.909066439</v>
      </c>
      <c r="E42" s="277">
        <f t="shared" si="9"/>
        <v>-102384181.37379062</v>
      </c>
      <c r="F42" s="277">
        <f t="shared" si="9"/>
        <v>-106947628.49000698</v>
      </c>
      <c r="G42" s="277">
        <f t="shared" si="9"/>
        <v>-110344056.60083421</v>
      </c>
      <c r="H42" s="277">
        <f t="shared" si="9"/>
        <v>-112744002.10699245</v>
      </c>
      <c r="I42" s="277">
        <f t="shared" si="9"/>
        <v>-114743303.64904471</v>
      </c>
      <c r="J42" s="319">
        <f t="shared" si="9"/>
        <v>-111804258.30717613</v>
      </c>
    </row>
    <row r="43" spans="2:10" ht="15.6" thickBot="1" x14ac:dyDescent="0.35">
      <c r="B43" s="48" t="s">
        <v>801</v>
      </c>
      <c r="C43" s="162" t="str">
        <f t="shared" ref="C43:J43" si="10">IF(C41&gt;=0,"✓ Yes","✗ No")</f>
        <v>✗ No</v>
      </c>
      <c r="D43" s="323" t="str">
        <f t="shared" si="10"/>
        <v>✗ No</v>
      </c>
      <c r="E43" s="323" t="str">
        <f t="shared" si="10"/>
        <v>✗ No</v>
      </c>
      <c r="F43" s="323" t="str">
        <f t="shared" si="10"/>
        <v>✗ No</v>
      </c>
      <c r="G43" s="323" t="str">
        <f t="shared" si="10"/>
        <v>✗ No</v>
      </c>
      <c r="H43" s="323" t="str">
        <f t="shared" si="10"/>
        <v>✗ No</v>
      </c>
      <c r="I43" s="323" t="str">
        <f t="shared" si="10"/>
        <v>✗ No</v>
      </c>
      <c r="J43" s="215" t="str">
        <f t="shared" si="10"/>
        <v>✗ No</v>
      </c>
    </row>
    <row r="46" spans="2:10" ht="15" thickBot="1" x14ac:dyDescent="0.35"/>
    <row r="47" spans="2:10" ht="17.399999999999999" x14ac:dyDescent="0.3">
      <c r="B47" s="416" t="s">
        <v>988</v>
      </c>
      <c r="C47" s="417"/>
      <c r="D47" s="417"/>
      <c r="E47" s="417"/>
      <c r="F47" s="417"/>
      <c r="G47" s="417"/>
      <c r="H47" s="418"/>
    </row>
    <row r="48" spans="2:10" ht="15.6" x14ac:dyDescent="0.3">
      <c r="B48" s="103" t="s">
        <v>336</v>
      </c>
      <c r="C48" s="91" t="s">
        <v>769</v>
      </c>
      <c r="D48" s="91" t="s">
        <v>770</v>
      </c>
      <c r="E48" s="91" t="s">
        <v>771</v>
      </c>
      <c r="F48" s="91" t="s">
        <v>772</v>
      </c>
      <c r="G48" s="91" t="s">
        <v>773</v>
      </c>
      <c r="H48" s="104" t="s">
        <v>774</v>
      </c>
    </row>
    <row r="49" spans="2:8" ht="15.6" thickBot="1" x14ac:dyDescent="0.35">
      <c r="B49" s="48" t="s">
        <v>989</v>
      </c>
      <c r="C49" s="263">
        <f>C19</f>
        <v>-88950000</v>
      </c>
      <c r="D49" s="263">
        <f t="shared" ref="D49:H49" si="11">D19</f>
        <v>-8297439.3745184187</v>
      </c>
      <c r="E49" s="263">
        <f t="shared" si="11"/>
        <v>-7234800.8030898478</v>
      </c>
      <c r="F49" s="263">
        <f t="shared" si="11"/>
        <v>-6157151.731661276</v>
      </c>
      <c r="G49" s="263">
        <f t="shared" si="11"/>
        <v>-5063741.6352327038</v>
      </c>
      <c r="H49" s="240">
        <f t="shared" si="11"/>
        <v>-3953782.4625541344</v>
      </c>
    </row>
  </sheetData>
  <mergeCells count="17">
    <mergeCell ref="B47:H47"/>
    <mergeCell ref="H38:J38"/>
    <mergeCell ref="E34:G34"/>
    <mergeCell ref="E35:G35"/>
    <mergeCell ref="E36:G36"/>
    <mergeCell ref="B38:G38"/>
    <mergeCell ref="E29:G29"/>
    <mergeCell ref="E30:G30"/>
    <mergeCell ref="E31:G31"/>
    <mergeCell ref="E32:G32"/>
    <mergeCell ref="E33:G33"/>
    <mergeCell ref="B2:J2"/>
    <mergeCell ref="B3:J3"/>
    <mergeCell ref="B5:J5"/>
    <mergeCell ref="B21:J21"/>
    <mergeCell ref="E28:G28"/>
    <mergeCell ref="B27:G27"/>
  </mergeCells>
  <phoneticPr fontId="63" type="noConversion"/>
  <hyperlinks>
    <hyperlink ref="B1" location="'Navigation Tab'!A1" display="Navigation Tab" xr:uid="{BB4C0241-DA57-4DDA-BA78-B4F67940DD8D}"/>
  </hyperlinks>
  <pageMargins left="0.75" right="0.75" top="1" bottom="1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2ECE-9A79-4FAF-B08A-E7D445305980}">
  <dimension ref="B1:C13"/>
  <sheetViews>
    <sheetView showGridLines="0" zoomScale="145" zoomScaleNormal="145" workbookViewId="0">
      <selection activeCell="B1" sqref="B1"/>
    </sheetView>
  </sheetViews>
  <sheetFormatPr defaultRowHeight="14.4" x14ac:dyDescent="0.3"/>
  <cols>
    <col min="1" max="1" width="6.33203125" style="332" customWidth="1"/>
    <col min="2" max="2" width="51.44140625" style="332" bestFit="1" customWidth="1"/>
    <col min="3" max="3" width="15.6640625" style="332" customWidth="1"/>
    <col min="4" max="16384" width="8.88671875" style="332"/>
  </cols>
  <sheetData>
    <row r="1" spans="2:3" ht="21" x14ac:dyDescent="0.4">
      <c r="B1" s="384" t="s">
        <v>1005</v>
      </c>
    </row>
    <row r="2" spans="2:3" ht="21" x14ac:dyDescent="0.4">
      <c r="B2" s="551" t="s">
        <v>974</v>
      </c>
      <c r="C2" s="552"/>
    </row>
    <row r="4" spans="2:3" ht="15" thickBot="1" x14ac:dyDescent="0.35"/>
    <row r="5" spans="2:3" ht="18" x14ac:dyDescent="0.35">
      <c r="B5" s="340" t="s">
        <v>975</v>
      </c>
      <c r="C5" s="341" t="s">
        <v>6</v>
      </c>
    </row>
    <row r="6" spans="2:3" x14ac:dyDescent="0.3">
      <c r="B6" s="333" t="s">
        <v>973</v>
      </c>
      <c r="C6" s="339">
        <f>Input!C22</f>
        <v>0.1</v>
      </c>
    </row>
    <row r="7" spans="2:3" x14ac:dyDescent="0.3">
      <c r="B7" s="333" t="s">
        <v>631</v>
      </c>
      <c r="C7" s="339">
        <f>Input!C21</f>
        <v>0.25</v>
      </c>
    </row>
    <row r="8" spans="2:3" x14ac:dyDescent="0.3">
      <c r="B8" s="333" t="s">
        <v>972</v>
      </c>
      <c r="C8" s="339">
        <v>0.15</v>
      </c>
    </row>
    <row r="9" spans="2:3" x14ac:dyDescent="0.3">
      <c r="B9" s="333" t="s">
        <v>971</v>
      </c>
      <c r="C9" s="339">
        <v>0.6</v>
      </c>
    </row>
    <row r="10" spans="2:3" ht="15" thickBot="1" x14ac:dyDescent="0.35">
      <c r="B10" s="334" t="s">
        <v>970</v>
      </c>
      <c r="C10" s="338">
        <v>0.4</v>
      </c>
    </row>
    <row r="11" spans="2:3" ht="15" thickBot="1" x14ac:dyDescent="0.35"/>
    <row r="12" spans="2:3" x14ac:dyDescent="0.3">
      <c r="B12" s="335" t="s">
        <v>969</v>
      </c>
      <c r="C12" s="336">
        <f>C6*(1-C7)</f>
        <v>7.5000000000000011E-2</v>
      </c>
    </row>
    <row r="13" spans="2:3" ht="15" thickBot="1" x14ac:dyDescent="0.35">
      <c r="B13" s="337" t="s">
        <v>968</v>
      </c>
      <c r="C13" s="338">
        <f>(C12*C9)+(C8*C10)</f>
        <v>0.10500000000000001</v>
      </c>
    </row>
  </sheetData>
  <mergeCells count="1">
    <mergeCell ref="B2:C2"/>
  </mergeCells>
  <hyperlinks>
    <hyperlink ref="B1" location="'Navigation Tab'!A1" display="Navigation Tab" xr:uid="{CFFACE40-C4D1-4E61-AAB1-9B8880FCBAD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B1:F50"/>
  <sheetViews>
    <sheetView showGridLines="0" zoomScaleNormal="100" workbookViewId="0">
      <selection activeCell="B1" sqref="B1"/>
    </sheetView>
  </sheetViews>
  <sheetFormatPr defaultColWidth="8.6640625" defaultRowHeight="14.4" x14ac:dyDescent="0.3"/>
  <cols>
    <col min="1" max="1" width="3" customWidth="1"/>
    <col min="2" max="2" width="34.109375" bestFit="1" customWidth="1"/>
    <col min="3" max="3" width="27.44140625" customWidth="1"/>
    <col min="4" max="4" width="27.77734375" customWidth="1"/>
    <col min="5" max="5" width="23.5546875" customWidth="1"/>
    <col min="6" max="6" width="27.6640625" customWidth="1"/>
  </cols>
  <sheetData>
    <row r="1" spans="2:6" ht="21" x14ac:dyDescent="0.4">
      <c r="B1" s="384" t="s">
        <v>1005</v>
      </c>
    </row>
    <row r="2" spans="2:6" ht="21" x14ac:dyDescent="0.3">
      <c r="B2" s="525" t="s">
        <v>802</v>
      </c>
      <c r="C2" s="525"/>
      <c r="D2" s="525"/>
      <c r="E2" s="525"/>
      <c r="F2" s="525"/>
    </row>
    <row r="3" spans="2:6" ht="15.6" x14ac:dyDescent="0.3">
      <c r="B3" s="433" t="s">
        <v>803</v>
      </c>
      <c r="C3" s="433"/>
      <c r="D3" s="433"/>
      <c r="E3" s="433"/>
      <c r="F3" s="433"/>
    </row>
    <row r="4" spans="2:6" ht="15" thickBot="1" x14ac:dyDescent="0.35"/>
    <row r="5" spans="2:6" ht="17.399999999999999" x14ac:dyDescent="0.3">
      <c r="B5" s="539" t="s">
        <v>804</v>
      </c>
      <c r="C5" s="540"/>
      <c r="D5" s="540"/>
      <c r="E5" s="540"/>
      <c r="F5" s="541"/>
    </row>
    <row r="6" spans="2:6" ht="31.2" x14ac:dyDescent="0.3">
      <c r="B6" s="103" t="s">
        <v>320</v>
      </c>
      <c r="C6" s="324" t="s">
        <v>62</v>
      </c>
      <c r="D6" s="325" t="s">
        <v>63</v>
      </c>
      <c r="E6" s="270" t="s">
        <v>805</v>
      </c>
      <c r="F6" s="331" t="s">
        <v>806</v>
      </c>
    </row>
    <row r="7" spans="2:6" ht="17.399999999999999" x14ac:dyDescent="0.3">
      <c r="B7" s="542" t="s">
        <v>807</v>
      </c>
      <c r="C7" s="543"/>
      <c r="D7" s="543"/>
      <c r="E7" s="543"/>
      <c r="F7" s="544"/>
    </row>
    <row r="8" spans="2:6" ht="15.6" x14ac:dyDescent="0.3">
      <c r="B8" s="307" t="s">
        <v>627</v>
      </c>
      <c r="C8" s="189">
        <f>'Cost sheet'!C15</f>
        <v>88950000</v>
      </c>
      <c r="D8" s="186">
        <f>Input!C12*Assumptions!D11+Input!C10*Assumptions!D12+Assumptions!D13*100000+Assumptions!D14*100000+Assumptions!D15*100000+Assumptions!D16*100000+Input!C12*Assumptions!D8*Assumptions!D10</f>
        <v>15900000</v>
      </c>
      <c r="E8" s="12">
        <f t="shared" ref="E8:E14" si="0">D8-C8</f>
        <v>-73050000</v>
      </c>
      <c r="F8" s="256">
        <f t="shared" ref="F8:F14" si="1">IFERROR((D8-C8)/ABS(C8),0)</f>
        <v>-0.82124789207419902</v>
      </c>
    </row>
    <row r="9" spans="2:6" ht="15" x14ac:dyDescent="0.3">
      <c r="B9" s="61" t="s">
        <v>808</v>
      </c>
      <c r="C9" s="92">
        <f>Input!C12*Assumptions!C9</f>
        <v>75000000</v>
      </c>
      <c r="D9" s="92">
        <f>0</f>
        <v>0</v>
      </c>
      <c r="E9" s="12">
        <f t="shared" si="0"/>
        <v>-75000000</v>
      </c>
      <c r="F9" s="256">
        <f t="shared" si="1"/>
        <v>-1</v>
      </c>
    </row>
    <row r="10" spans="2:6" ht="15" x14ac:dyDescent="0.3">
      <c r="B10" s="61" t="s">
        <v>809</v>
      </c>
      <c r="C10" s="92">
        <f>'Cost sheet'!C7+'Cost sheet'!C8</f>
        <v>11250000</v>
      </c>
      <c r="D10" s="92">
        <f>Input!C12*Assumptions!D11+Input!C10*Assumptions!D12</f>
        <v>11250000</v>
      </c>
      <c r="E10" s="12">
        <f t="shared" si="0"/>
        <v>0</v>
      </c>
      <c r="F10" s="256">
        <f t="shared" si="1"/>
        <v>0</v>
      </c>
    </row>
    <row r="11" spans="2:6" ht="15" x14ac:dyDescent="0.3">
      <c r="B11" s="61" t="s">
        <v>810</v>
      </c>
      <c r="C11" s="92">
        <f>'Cost sheet'!C9+'Cost sheet'!C10+'Cost sheet'!C11+'Cost sheet'!C12</f>
        <v>2700000</v>
      </c>
      <c r="D11" s="92">
        <f>Assumptions!D13*100000+Assumptions!D14*100000+Assumptions!D15*100000+Assumptions!D16*100000</f>
        <v>2700000</v>
      </c>
      <c r="E11" s="12">
        <f t="shared" si="0"/>
        <v>0</v>
      </c>
      <c r="F11" s="256">
        <f t="shared" si="1"/>
        <v>0</v>
      </c>
    </row>
    <row r="12" spans="2:6" ht="15" x14ac:dyDescent="0.3">
      <c r="B12" s="61" t="s">
        <v>811</v>
      </c>
      <c r="C12" s="92">
        <f>0</f>
        <v>0</v>
      </c>
      <c r="D12" s="92">
        <f>Input!C12*Assumptions!D8*Assumptions!D10</f>
        <v>1950000</v>
      </c>
      <c r="E12" s="12">
        <f t="shared" si="0"/>
        <v>1950000</v>
      </c>
      <c r="F12" s="256">
        <f t="shared" si="1"/>
        <v>0</v>
      </c>
    </row>
    <row r="13" spans="2:6" ht="15" x14ac:dyDescent="0.3">
      <c r="B13" s="61" t="s">
        <v>812</v>
      </c>
      <c r="C13" s="92">
        <f>'Cost sheet'!C84</f>
        <v>35580000</v>
      </c>
      <c r="D13" s="92">
        <f>(Input!C12*Assumptions!D11+Input!C10*Assumptions!D12+Assumptions!D13*100000+Assumptions!D14*100000+Assumptions!D15*100000+Assumptions!D16*100000+Input!C12*Assumptions!D8*Assumptions!D10)*(1-Assumptions!D22)</f>
        <v>6360000</v>
      </c>
      <c r="E13" s="12">
        <f t="shared" si="0"/>
        <v>-29220000</v>
      </c>
      <c r="F13" s="256">
        <f t="shared" si="1"/>
        <v>-0.82124789207419902</v>
      </c>
    </row>
    <row r="14" spans="2:6" ht="15.6" thickBot="1" x14ac:dyDescent="0.35">
      <c r="B14" s="48" t="s">
        <v>813</v>
      </c>
      <c r="C14" s="106">
        <f>'Cost sheet'!C79</f>
        <v>53370000</v>
      </c>
      <c r="D14" s="106">
        <f>(Input!C12*Assumptions!D11+Input!C10*Assumptions!D12+Assumptions!D13*100000+Assumptions!D14*100000+Assumptions!D15*100000+Assumptions!D16*100000+Input!C12*Assumptions!D8*Assumptions!D10)*Assumptions!D22</f>
        <v>9540000</v>
      </c>
      <c r="E14" s="263">
        <f t="shared" si="0"/>
        <v>-43830000</v>
      </c>
      <c r="F14" s="287">
        <f t="shared" si="1"/>
        <v>-0.82124789207419902</v>
      </c>
    </row>
    <row r="15" spans="2:6" ht="15" thickBot="1" x14ac:dyDescent="0.35">
      <c r="B15" s="282"/>
      <c r="C15" s="282"/>
      <c r="D15" s="282"/>
      <c r="E15" s="282"/>
      <c r="F15" s="282"/>
    </row>
    <row r="16" spans="2:6" ht="17.399999999999999" x14ac:dyDescent="0.3">
      <c r="B16" s="539" t="s">
        <v>814</v>
      </c>
      <c r="C16" s="540"/>
      <c r="D16" s="540"/>
      <c r="E16" s="540"/>
      <c r="F16" s="541"/>
    </row>
    <row r="17" spans="2:6" ht="15.6" x14ac:dyDescent="0.3">
      <c r="B17" s="307" t="s">
        <v>467</v>
      </c>
      <c r="C17" s="189">
        <f>'Cost sheet'!C20</f>
        <v>747053.28120986826</v>
      </c>
      <c r="D17" s="186">
        <f>Input!C12*Assumptions!D8</f>
        <v>325000</v>
      </c>
      <c r="E17" s="12">
        <f>D17-C17</f>
        <v>-422053.28120986826</v>
      </c>
      <c r="F17" s="256">
        <f>IFERROR((D17-C17)/ABS(C17),0)</f>
        <v>-0.564957402404209</v>
      </c>
    </row>
    <row r="18" spans="2:6" ht="15" x14ac:dyDescent="0.3">
      <c r="B18" s="61" t="s">
        <v>815</v>
      </c>
      <c r="C18" s="92">
        <f>'Cost sheet'!C21+'Cost sheet'!C22+'Cost sheet'!C23+'Cost sheet'!C24+'Cost sheet'!C25+'Cost sheet'!C26</f>
        <v>199000</v>
      </c>
      <c r="D18" s="92">
        <f>Assumptions!D26+Assumptions!D27*2+Assumptions!D28+Assumptions!D29*3+Assumptions!D30+Assumptions!D31</f>
        <v>199000</v>
      </c>
      <c r="E18" s="12">
        <f>D18-C18</f>
        <v>0</v>
      </c>
      <c r="F18" s="256">
        <f>IFERROR((D18-C18)/ABS(C18),0)</f>
        <v>0</v>
      </c>
    </row>
    <row r="19" spans="2:6" ht="15" x14ac:dyDescent="0.3">
      <c r="B19" s="61" t="s">
        <v>816</v>
      </c>
      <c r="C19" s="92">
        <f>'Cost sheet'!C27+'Cost sheet'!C28+'Cost sheet'!C29+'Cost sheet'!C30+'Cost sheet'!C31+'Cost sheet'!C32+'Cost sheet'!C33</f>
        <v>115000</v>
      </c>
      <c r="D19" s="92">
        <f>Assumptions!D34+Assumptions!D35+Assumptions!D36+Assumptions!D37+Assumptions!D38+Assumptions!D39+Assumptions!D40</f>
        <v>115000</v>
      </c>
      <c r="E19" s="12">
        <f>D19-C19</f>
        <v>0</v>
      </c>
      <c r="F19" s="256">
        <f>IFERROR((D19-C19)/ABS(C19),0)</f>
        <v>0</v>
      </c>
    </row>
    <row r="20" spans="2:6" ht="15" x14ac:dyDescent="0.3">
      <c r="B20" s="61" t="s">
        <v>817</v>
      </c>
      <c r="C20" s="92">
        <f>'Cost sheet'!C49*'Cost sheet'!C43</f>
        <v>72000</v>
      </c>
      <c r="D20" s="92">
        <f>Input!C10*Input!C13*'Cost sheet'!C43</f>
        <v>72000</v>
      </c>
      <c r="E20" s="12">
        <f>D20-C20</f>
        <v>0</v>
      </c>
      <c r="F20" s="256">
        <f>IFERROR((D20-C20)/ABS(C20),0)</f>
        <v>0</v>
      </c>
    </row>
    <row r="21" spans="2:6" ht="16.2" thickBot="1" x14ac:dyDescent="0.35">
      <c r="B21" s="235" t="s">
        <v>248</v>
      </c>
      <c r="C21" s="330">
        <f>'Cost sheet'!C53</f>
        <v>1133053.2812098684</v>
      </c>
      <c r="D21" s="236">
        <f>(Input!C12*Assumptions!D8+Assumptions!D26+Assumptions!D27*2+Assumptions!D28+Assumptions!D29*3+Assumptions!D30+Assumptions!D31+Assumptions!D34+Assumptions!D35+Assumptions!D36+Assumptions!D37+Assumptions!D38+Assumptions!D39+Assumptions!D40)+'Cost sheet'!C43*(Input!C10*Input!C13)</f>
        <v>711000</v>
      </c>
      <c r="E21" s="263">
        <f>D21-C21</f>
        <v>-422053.28120986838</v>
      </c>
      <c r="F21" s="287">
        <f>IFERROR((D21-C21)/ABS(C21),0)</f>
        <v>-0.37249199857503795</v>
      </c>
    </row>
    <row r="22" spans="2:6" ht="15" thickBot="1" x14ac:dyDescent="0.35">
      <c r="B22" s="282"/>
      <c r="C22" s="282"/>
      <c r="D22" s="282"/>
      <c r="E22" s="282"/>
      <c r="F22" s="282"/>
    </row>
    <row r="23" spans="2:6" ht="17.399999999999999" x14ac:dyDescent="0.3">
      <c r="B23" s="539" t="s">
        <v>818</v>
      </c>
      <c r="C23" s="540"/>
      <c r="D23" s="540"/>
      <c r="E23" s="540"/>
      <c r="F23" s="541"/>
    </row>
    <row r="24" spans="2:6" ht="15" x14ac:dyDescent="0.3">
      <c r="B24" s="61" t="s">
        <v>819</v>
      </c>
      <c r="C24" s="92">
        <f>'P&amp;L'!C8</f>
        <v>11196000</v>
      </c>
      <c r="D24" s="92">
        <f>'Revenue Model'!C14</f>
        <v>11196000</v>
      </c>
      <c r="E24" s="12">
        <f t="shared" ref="E24:E36" si="2">D24-C24</f>
        <v>0</v>
      </c>
      <c r="F24" s="256">
        <f t="shared" ref="F24:F36" si="3">IFERROR((D24-C24)/ABS(C24),0)</f>
        <v>0</v>
      </c>
    </row>
    <row r="25" spans="2:6" ht="15" x14ac:dyDescent="0.3">
      <c r="B25" s="61" t="s">
        <v>820</v>
      </c>
      <c r="C25" s="92">
        <f>'P&amp;L'!C10</f>
        <v>10636200</v>
      </c>
      <c r="D25" s="92">
        <f>'Revenue Model'!C14*0.95</f>
        <v>10636200</v>
      </c>
      <c r="E25" s="12">
        <f t="shared" si="2"/>
        <v>0</v>
      </c>
      <c r="F25" s="256">
        <f t="shared" si="3"/>
        <v>0</v>
      </c>
    </row>
    <row r="26" spans="2:6" ht="15" x14ac:dyDescent="0.3">
      <c r="B26" s="61" t="s">
        <v>821</v>
      </c>
      <c r="C26" s="92">
        <f>'P&amp;L'!C13</f>
        <v>864000</v>
      </c>
      <c r="D26" s="92">
        <f>'Cost sheet'!C43*'Cost sheet'!C49*12</f>
        <v>864000</v>
      </c>
      <c r="E26" s="12">
        <f t="shared" si="2"/>
        <v>0</v>
      </c>
      <c r="F26" s="256">
        <f t="shared" si="3"/>
        <v>0</v>
      </c>
    </row>
    <row r="27" spans="2:6" ht="15" x14ac:dyDescent="0.3">
      <c r="B27" s="61" t="s">
        <v>822</v>
      </c>
      <c r="C27" s="92">
        <f>'P&amp;L'!C14</f>
        <v>9772200</v>
      </c>
      <c r="D27" s="92">
        <f>'Revenue Model'!C14*0.95-'Cost sheet'!C43*'Cost sheet'!C49*12</f>
        <v>9772200</v>
      </c>
      <c r="E27" s="12">
        <f t="shared" si="2"/>
        <v>0</v>
      </c>
      <c r="F27" s="256">
        <f t="shared" si="3"/>
        <v>0</v>
      </c>
    </row>
    <row r="28" spans="2:6" ht="15" x14ac:dyDescent="0.3">
      <c r="B28" s="61" t="s">
        <v>823</v>
      </c>
      <c r="C28" s="92">
        <f>'P&amp;L'!C24</f>
        <v>12732639.374518419</v>
      </c>
      <c r="D28" s="92">
        <f>(Input!C12*Assumptions!D8+Assumptions!D26+Assumptions!D27*2+Assumptions!D28+Assumptions!D29*3+Assumptions!D30+Assumptions!D31+Assumptions!D34+Assumptions!D35+Assumptions!D36+Assumptions!D37+Assumptions!D38+Assumptions!D39+Assumptions!D40)*12</f>
        <v>7668000</v>
      </c>
      <c r="E28" s="12">
        <f t="shared" si="2"/>
        <v>-5064639.3745184187</v>
      </c>
      <c r="F28" s="256">
        <f t="shared" si="3"/>
        <v>-0.39776822586008226</v>
      </c>
    </row>
    <row r="29" spans="2:6" ht="15.6" x14ac:dyDescent="0.3">
      <c r="B29" s="307" t="s">
        <v>267</v>
      </c>
      <c r="C29" s="189">
        <f>'P&amp;L'!C26</f>
        <v>-2960439.3745184187</v>
      </c>
      <c r="D29" s="191">
        <f>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</f>
        <v>2104200</v>
      </c>
      <c r="E29" s="12">
        <f t="shared" si="2"/>
        <v>5064639.3745184187</v>
      </c>
      <c r="F29" s="256">
        <f t="shared" si="3"/>
        <v>1.7107728731456611</v>
      </c>
    </row>
    <row r="30" spans="2:6" ht="15" x14ac:dyDescent="0.3">
      <c r="B30" s="61" t="s">
        <v>824</v>
      </c>
      <c r="C30" s="92">
        <f>'P&amp;L'!C33</f>
        <v>1622500</v>
      </c>
      <c r="D30" s="92">
        <f>'P&amp;L'!C33</f>
        <v>1622500</v>
      </c>
      <c r="E30" s="12">
        <f t="shared" si="2"/>
        <v>0</v>
      </c>
      <c r="F30" s="256">
        <f t="shared" si="3"/>
        <v>0</v>
      </c>
    </row>
    <row r="31" spans="2:6" ht="15" x14ac:dyDescent="0.3">
      <c r="B31" s="61" t="s">
        <v>825</v>
      </c>
      <c r="C31" s="92">
        <f>'P&amp;L'!C35</f>
        <v>-4582939.3745184187</v>
      </c>
      <c r="D31" s="92">
        <f>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</f>
        <v>481700</v>
      </c>
      <c r="E31" s="12">
        <f t="shared" si="2"/>
        <v>5064639.3745184187</v>
      </c>
      <c r="F31" s="256">
        <f t="shared" si="3"/>
        <v>1.1051072162722244</v>
      </c>
    </row>
    <row r="32" spans="2:6" ht="15" x14ac:dyDescent="0.3">
      <c r="B32" s="61" t="s">
        <v>826</v>
      </c>
      <c r="C32" s="92">
        <f>'P&amp;L'!C39</f>
        <v>5337000</v>
      </c>
      <c r="D32" s="92">
        <f>(Input!C12*Assumptions!D11+Input!C10*Assumptions!D12+Assumptions!D13*100000+Assumptions!D14*100000+Assumptions!D15*100000+Assumptions!D16*100000+Input!C12*Assumptions!D8*Assumptions!D10)*Assumptions!D22*Input!C22</f>
        <v>954000</v>
      </c>
      <c r="E32" s="12">
        <f t="shared" si="2"/>
        <v>-4383000</v>
      </c>
      <c r="F32" s="256">
        <f t="shared" si="3"/>
        <v>-0.82124789207419902</v>
      </c>
    </row>
    <row r="33" spans="2:6" ht="15" x14ac:dyDescent="0.3">
      <c r="B33" s="61" t="s">
        <v>762</v>
      </c>
      <c r="C33" s="92">
        <f>'P&amp;L'!C41</f>
        <v>-9919939.3745184187</v>
      </c>
      <c r="D33" s="92">
        <f>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</f>
        <v>-472300</v>
      </c>
      <c r="E33" s="12">
        <f t="shared" si="2"/>
        <v>9447639.3745184187</v>
      </c>
      <c r="F33" s="256">
        <f t="shared" si="3"/>
        <v>0.9523888219303831</v>
      </c>
    </row>
    <row r="34" spans="2:6" ht="15" x14ac:dyDescent="0.3">
      <c r="B34" s="61" t="s">
        <v>827</v>
      </c>
      <c r="C34" s="92">
        <f>'P&amp;L'!C42</f>
        <v>0</v>
      </c>
      <c r="D34" s="92">
        <f>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</f>
        <v>0</v>
      </c>
      <c r="E34" s="12">
        <f t="shared" si="2"/>
        <v>0</v>
      </c>
      <c r="F34" s="256">
        <f t="shared" si="3"/>
        <v>0</v>
      </c>
    </row>
    <row r="35" spans="2:6" ht="15.6" x14ac:dyDescent="0.3">
      <c r="B35" s="307" t="s">
        <v>828</v>
      </c>
      <c r="C35" s="189">
        <f>'P&amp;L'!C43</f>
        <v>-9919939.3745184187</v>
      </c>
      <c r="D35" s="186">
        <f>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-(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)</f>
        <v>-472300</v>
      </c>
      <c r="E35" s="12">
        <f t="shared" si="2"/>
        <v>9447639.3745184187</v>
      </c>
      <c r="F35" s="256">
        <f t="shared" si="3"/>
        <v>0.9523888219303831</v>
      </c>
    </row>
    <row r="36" spans="2:6" ht="15.6" thickBot="1" x14ac:dyDescent="0.35">
      <c r="B36" s="48" t="s">
        <v>616</v>
      </c>
      <c r="C36" s="214">
        <f>IFERROR('P&amp;L'!C43/'P&amp;L'!C10,0)</f>
        <v>-0.93265822140599264</v>
      </c>
      <c r="D36" s="214">
        <f>IFERROR((((('Revenue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-(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))/('Revenue Model'!C14*0.95),0)</f>
        <v>-4.4404956657452851E-2</v>
      </c>
      <c r="E36" s="286">
        <f t="shared" si="2"/>
        <v>0.88825326474853983</v>
      </c>
      <c r="F36" s="287">
        <f t="shared" si="3"/>
        <v>0.95238882193038321</v>
      </c>
    </row>
    <row r="37" spans="2:6" ht="15" thickBot="1" x14ac:dyDescent="0.35">
      <c r="B37" s="282"/>
      <c r="C37" s="282"/>
      <c r="D37" s="282"/>
      <c r="E37" s="282"/>
      <c r="F37" s="282"/>
    </row>
    <row r="38" spans="2:6" ht="17.399999999999999" x14ac:dyDescent="0.3">
      <c r="B38" s="539" t="s">
        <v>829</v>
      </c>
      <c r="C38" s="540"/>
      <c r="D38" s="540"/>
      <c r="E38" s="540"/>
      <c r="F38" s="541"/>
    </row>
    <row r="39" spans="2:6" ht="15" x14ac:dyDescent="0.3">
      <c r="B39" s="61" t="s">
        <v>627</v>
      </c>
      <c r="C39" s="92">
        <f>'Cost sheet'!C15</f>
        <v>88950000</v>
      </c>
      <c r="D39" s="92">
        <f>Input!C12*Assumptions!D11+Input!C10*Assumptions!D12+Assumptions!D13*100000+Assumptions!D14*100000+Assumptions!D15*100000+Assumptions!D16*100000+Input!C12*Assumptions!D8*Assumptions!D10</f>
        <v>15900000</v>
      </c>
      <c r="E39" s="12">
        <f>D39-C39</f>
        <v>-73050000</v>
      </c>
      <c r="F39" s="256">
        <f>IFERROR((D39-C39)/ABS(C39),0)</f>
        <v>-0.82124789207419902</v>
      </c>
    </row>
    <row r="40" spans="2:6" ht="15.6" x14ac:dyDescent="0.3">
      <c r="B40" s="307" t="s">
        <v>830</v>
      </c>
      <c r="C40" s="326">
        <f>'Investment Appraisal'!C30</f>
        <v>-111804258.30717614</v>
      </c>
      <c r="D40" s="326">
        <f>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*((1-(1+Input!C20)^(-Input!C23))/Input!C20)-(Input!C12*Assumptions!D11+Input!C10*Assumptions!D12+Assumptions!D13*100000+Assumptions!D14*100000+Assumptions!D15*100000+Assumptions!D16*100000+Input!C12*Assumptions!D8*Assumptions!D10)</f>
        <v>-5822349.4409866445</v>
      </c>
      <c r="E40" s="12">
        <f>D40-C40</f>
        <v>105981908.86618949</v>
      </c>
      <c r="F40" s="256">
        <f>IFERROR((D40-C40)/ABS(C40),0)</f>
        <v>0.94792372375486755</v>
      </c>
    </row>
    <row r="41" spans="2:6" ht="15" x14ac:dyDescent="0.3">
      <c r="B41" s="61" t="s">
        <v>831</v>
      </c>
      <c r="C41" s="92">
        <f>'P&amp;L'!C26</f>
        <v>-2960439.3745184187</v>
      </c>
      <c r="D41" s="92">
        <f>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</f>
        <v>2104200</v>
      </c>
      <c r="E41" s="12">
        <f>D41-C41</f>
        <v>5064639.3745184187</v>
      </c>
      <c r="F41" s="256">
        <f>IFERROR((D41-C41)/ABS(C41),0)</f>
        <v>1.7107728731456611</v>
      </c>
    </row>
    <row r="42" spans="2:6" ht="15.6" x14ac:dyDescent="0.3">
      <c r="B42" s="307" t="s">
        <v>832</v>
      </c>
      <c r="C42" s="327">
        <f>IFERROR('P&amp;L'!C26/'P&amp;L'!C10,0)</f>
        <v>-0.2783361891012221</v>
      </c>
      <c r="D42" s="327">
        <f>IFERROR(('Revenue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sheet'!C49*12-(Input!C12*Assumptions!D8+Assumptions!D26+Assumptions!D27*2+Assumptions!D28+Assumptions!D29*3+Assumptions!D30+Assumptions!D31+Assumptions!D34+Assumptions!D35+Assumptions!D36+Assumptions!D37+Assumptions!D38+Assumptions!D39+Assumptions!D40)*12)/('Revenue Model'!C14*0.95),0)</f>
        <v>0.19783381282788967</v>
      </c>
      <c r="E42" s="254">
        <f>D42-C42</f>
        <v>0.47617000192911174</v>
      </c>
      <c r="F42" s="256">
        <f>IFERROR((D42-C42)/ABS(C42),0)</f>
        <v>1.7107728731456611</v>
      </c>
    </row>
    <row r="43" spans="2:6" ht="15.6" thickBot="1" x14ac:dyDescent="0.35">
      <c r="B43" s="48" t="s">
        <v>833</v>
      </c>
      <c r="C43" s="323" t="str">
        <f>IF('P&amp;L'!C43&gt;0,ROUND('Cost sheet'!C15/'P&amp;L'!C43,1),"Loss-making")</f>
        <v>Loss-making</v>
      </c>
      <c r="D43" s="323">
        <f>IFERROR(ROUND((Input!C12*Assumptions!D11+Input!C10*Assumptions!D12+Assumptions!D13*100000+Assumptions!D14*100000+Assumptions!D15*100000+Assumptions!D16*100000+Input!C12*Assumptions!D8*Assumptions!D10)/(((('Revenue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-(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)),1),"Loss-making")</f>
        <v>-33.700000000000003</v>
      </c>
      <c r="E43" s="328" t="str">
        <f>IFERROR(D43-C43,"N/A (one or both loss-making)")</f>
        <v>N/A (one or both loss-making)</v>
      </c>
      <c r="F43" s="329" t="str">
        <f>IFERROR((D43-C43)/ABS(C43),"N/A")</f>
        <v>N/A</v>
      </c>
    </row>
    <row r="44" spans="2:6" ht="15" thickBot="1" x14ac:dyDescent="0.35">
      <c r="B44" s="282"/>
      <c r="C44" s="282"/>
      <c r="D44" s="282"/>
      <c r="E44" s="282"/>
      <c r="F44" s="282"/>
    </row>
    <row r="45" spans="2:6" ht="17.399999999999999" x14ac:dyDescent="0.3">
      <c r="B45" s="553" t="s">
        <v>834</v>
      </c>
      <c r="C45" s="554"/>
      <c r="D45" s="554"/>
      <c r="E45" s="554"/>
      <c r="F45" s="555"/>
    </row>
    <row r="46" spans="2:6" ht="15.6" x14ac:dyDescent="0.3">
      <c r="B46" s="61" t="s">
        <v>835</v>
      </c>
      <c r="C46" s="556" t="str">
        <f>IF('Cost sheet'!C15&gt;(Input!C12*Assumptions!D11+Input!C10*Assumptions!D12+Assumptions!D13*100000+Assumptions!D14*100000+Assumptions!D15*100000+Assumptions!D16*100000+Input!C12*Assumptions!D8*Assumptions!D10),"✓ Rent","Owned")</f>
        <v>✓ Rent</v>
      </c>
      <c r="D46" s="557"/>
      <c r="E46" s="562" t="s">
        <v>836</v>
      </c>
      <c r="F46" s="563"/>
    </row>
    <row r="47" spans="2:6" ht="15.6" x14ac:dyDescent="0.3">
      <c r="B47" s="61" t="s">
        <v>837</v>
      </c>
      <c r="C47" s="558" t="str">
        <f>IF('Cost sheet'!C20&gt;Input!C12*Assumptions!D8,"✓ Rent","Owned")</f>
        <v>✓ Rent</v>
      </c>
      <c r="D47" s="559"/>
      <c r="E47" s="562" t="s">
        <v>838</v>
      </c>
      <c r="F47" s="563"/>
    </row>
    <row r="48" spans="2:6" ht="15.6" x14ac:dyDescent="0.3">
      <c r="B48" s="61" t="s">
        <v>839</v>
      </c>
      <c r="C48" s="558" t="str">
        <f>IF('P&amp;L'!C26&lt;('Revenue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sheet'!C49*12-(Input!C12*Assumptions!D8+Assumptions!D26+Assumptions!D27*2+Assumptions!D28+Assumptions!D29*3+Assumptions!D30+Assumptions!D31+Assumptions!D34+Assumptions!D35+Assumptions!D36+Assumptions!D37+Assumptions!D38+Assumptions!D39+Assumptions!D40)*12),"✓ Rent","Owned")</f>
        <v>✓ Rent</v>
      </c>
      <c r="D48" s="559"/>
      <c r="E48" s="562" t="s">
        <v>840</v>
      </c>
      <c r="F48" s="563"/>
    </row>
    <row r="49" spans="2:6" ht="15.6" x14ac:dyDescent="0.3">
      <c r="B49" s="61" t="s">
        <v>841</v>
      </c>
      <c r="C49" s="558" t="str">
        <f>IF('Cost sheet'!C15&gt;(Input!C12*Assumptions!D11+Input!C10*Assumptions!D12+Assumptions!D13*100000+Assumptions!D14*100000+Assumptions!D15*100000+Assumptions!D16*100000+Input!C12*Assumptions!D8*Assumptions!D10)*5,"✓ Rent (significantly lower)","Comparable")</f>
        <v>✓ Rent (significantly lower)</v>
      </c>
      <c r="D49" s="559"/>
      <c r="E49" s="562" t="s">
        <v>842</v>
      </c>
      <c r="F49" s="563"/>
    </row>
    <row r="50" spans="2:6" ht="16.2" thickBot="1" x14ac:dyDescent="0.35">
      <c r="B50" s="235" t="s">
        <v>843</v>
      </c>
      <c r="C50" s="560" t="str">
        <f>IF(AND('P&amp;L'!C26&lt;('Revenue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sheet'!C49*12-(Input!C12*Assumptions!D8+Assumptions!D26+Assumptions!D27*2+Assumptions!D28+Assumptions!D29*3+Assumptions!D30+Assumptions!D31+Assumptions!D34+Assumptions!D35+Assumptions!D36+Assumptions!D37+Assumptions!D38+Assumptions!D39+Assumptions!D40)*12),'Cost sheet'!C15&gt;(Input!C12*Assumptions!D11+Input!C10*Assumptions!D12+Assumptions!D13*100000+Assumptions!D14*100000+Assumptions!D15*100000+Assumptions!D16*100000+Input!C12*Assumptions!D8*Assumptions!D10)*5),"✓ RENT — Lower risk, lower investment, better P&amp;L","Review — depends on long-term asset strategy")</f>
        <v>✓ RENT — Lower risk, lower investment, better P&amp;L</v>
      </c>
      <c r="D50" s="561"/>
      <c r="E50" s="564" t="s">
        <v>844</v>
      </c>
      <c r="F50" s="565"/>
    </row>
  </sheetData>
  <mergeCells count="18">
    <mergeCell ref="E46:F46"/>
    <mergeCell ref="E47:F47"/>
    <mergeCell ref="E48:F48"/>
    <mergeCell ref="E49:F49"/>
    <mergeCell ref="E50:F50"/>
    <mergeCell ref="C46:D46"/>
    <mergeCell ref="C47:D47"/>
    <mergeCell ref="C48:D48"/>
    <mergeCell ref="C49:D49"/>
    <mergeCell ref="C50:D50"/>
    <mergeCell ref="B23:F23"/>
    <mergeCell ref="B38:F38"/>
    <mergeCell ref="B45:F45"/>
    <mergeCell ref="B2:F2"/>
    <mergeCell ref="B3:F3"/>
    <mergeCell ref="B5:F5"/>
    <mergeCell ref="B7:F7"/>
    <mergeCell ref="B16:F16"/>
  </mergeCells>
  <hyperlinks>
    <hyperlink ref="B1" location="'Navigation Tab'!A1" display="Navigation Tab" xr:uid="{FF52424D-40A9-42C3-ADAF-88385DEF47FB}"/>
  </hyperlinks>
  <pageMargins left="0.75" right="0.75" top="1" bottom="1" header="0.511811023622047" footer="0.511811023622047"/>
  <pageSetup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B1:I52"/>
  <sheetViews>
    <sheetView showGridLines="0" zoomScale="115" zoomScaleNormal="115" workbookViewId="0">
      <selection activeCell="B1" sqref="B1"/>
    </sheetView>
  </sheetViews>
  <sheetFormatPr defaultColWidth="8.6640625" defaultRowHeight="14.4" x14ac:dyDescent="0.3"/>
  <cols>
    <col min="1" max="1" width="2" customWidth="1"/>
    <col min="2" max="2" width="28" customWidth="1"/>
    <col min="3" max="3" width="22" customWidth="1"/>
    <col min="4" max="4" width="3" customWidth="1"/>
    <col min="5" max="5" width="28" customWidth="1"/>
    <col min="6" max="6" width="22" customWidth="1"/>
    <col min="7" max="7" width="3" customWidth="1"/>
    <col min="8" max="8" width="28" customWidth="1"/>
    <col min="9" max="9" width="22" customWidth="1"/>
  </cols>
  <sheetData>
    <row r="1" spans="2:9" ht="21" x14ac:dyDescent="0.4">
      <c r="B1" s="384" t="s">
        <v>1005</v>
      </c>
    </row>
    <row r="2" spans="2:9" ht="39.75" customHeight="1" x14ac:dyDescent="0.3">
      <c r="B2" s="566" t="s">
        <v>845</v>
      </c>
      <c r="C2" s="566"/>
      <c r="D2" s="566"/>
      <c r="E2" s="566"/>
      <c r="F2" s="566"/>
      <c r="G2" s="566"/>
      <c r="H2" s="566"/>
      <c r="I2" s="566"/>
    </row>
    <row r="3" spans="2:9" ht="18" customHeight="1" x14ac:dyDescent="0.3">
      <c r="B3" s="385"/>
      <c r="C3" s="385"/>
      <c r="D3" s="385"/>
      <c r="E3" s="385"/>
      <c r="F3" s="385"/>
      <c r="G3" s="385"/>
      <c r="H3" s="385"/>
      <c r="I3" s="385"/>
    </row>
    <row r="4" spans="2:9" ht="7.5" customHeight="1" x14ac:dyDescent="0.3"/>
    <row r="5" spans="2:9" ht="21.75" customHeight="1" x14ac:dyDescent="0.3">
      <c r="B5" s="567" t="s">
        <v>846</v>
      </c>
      <c r="C5" s="567"/>
      <c r="E5" s="568" t="s">
        <v>396</v>
      </c>
      <c r="F5" s="568"/>
      <c r="H5" s="569" t="s">
        <v>847</v>
      </c>
      <c r="I5" s="569"/>
    </row>
    <row r="6" spans="2:9" ht="19.5" customHeight="1" x14ac:dyDescent="0.3">
      <c r="B6" s="570" t="s">
        <v>324</v>
      </c>
      <c r="C6" s="570"/>
      <c r="E6" s="571" t="s">
        <v>160</v>
      </c>
      <c r="F6" s="571"/>
      <c r="H6" s="572" t="s">
        <v>259</v>
      </c>
      <c r="I6" s="572"/>
    </row>
    <row r="7" spans="2:9" ht="27.75" customHeight="1" x14ac:dyDescent="0.3">
      <c r="B7" s="573" t="str">
        <f>Input!C6</f>
        <v>Owned</v>
      </c>
      <c r="C7" s="573"/>
      <c r="E7" s="574">
        <f>Revenue!F21</f>
        <v>933000</v>
      </c>
      <c r="F7" s="574"/>
      <c r="H7" s="574">
        <f>'Cost sheet'!C53</f>
        <v>1133053.2812098684</v>
      </c>
      <c r="I7" s="574"/>
    </row>
    <row r="8" spans="2:9" ht="15.75" customHeight="1" x14ac:dyDescent="0.3">
      <c r="B8" s="4" t="s">
        <v>848</v>
      </c>
      <c r="E8" s="4" t="s">
        <v>849</v>
      </c>
      <c r="H8" s="4" t="s">
        <v>249</v>
      </c>
    </row>
    <row r="9" spans="2:9" ht="15.75" customHeight="1" x14ac:dyDescent="0.3"/>
    <row r="10" spans="2:9" ht="19.5" customHeight="1" x14ac:dyDescent="0.3">
      <c r="B10" s="570" t="s">
        <v>850</v>
      </c>
      <c r="C10" s="570"/>
      <c r="E10" s="571" t="s">
        <v>851</v>
      </c>
      <c r="F10" s="571"/>
      <c r="H10" s="572" t="s">
        <v>852</v>
      </c>
      <c r="I10" s="572"/>
    </row>
    <row r="11" spans="2:9" ht="27.75" customHeight="1" x14ac:dyDescent="0.3">
      <c r="B11" s="573" t="str">
        <f>Input!C10&amp;" seats / "&amp;TEXT(Input!C13,"0%")</f>
        <v>100 seats / 80%</v>
      </c>
      <c r="C11" s="573"/>
      <c r="E11" s="574">
        <f>'Revenue Model'!C14</f>
        <v>11196000</v>
      </c>
      <c r="F11" s="574"/>
      <c r="H11" s="574">
        <f>'Cost sheet'!C34</f>
        <v>1061053.2812098684</v>
      </c>
      <c r="I11" s="574"/>
    </row>
    <row r="12" spans="2:9" ht="15.75" customHeight="1" x14ac:dyDescent="0.3">
      <c r="B12" s="4" t="s">
        <v>238</v>
      </c>
      <c r="E12" s="4" t="s">
        <v>853</v>
      </c>
      <c r="H12" s="4" t="s">
        <v>854</v>
      </c>
    </row>
    <row r="13" spans="2:9" ht="15.75" customHeight="1" x14ac:dyDescent="0.3"/>
    <row r="14" spans="2:9" ht="19.5" customHeight="1" x14ac:dyDescent="0.3">
      <c r="B14" s="570" t="s">
        <v>855</v>
      </c>
      <c r="C14" s="570"/>
      <c r="E14" s="571" t="s">
        <v>856</v>
      </c>
      <c r="F14" s="571"/>
      <c r="H14" s="572" t="s">
        <v>857</v>
      </c>
      <c r="I14" s="572"/>
    </row>
    <row r="15" spans="2:9" ht="27.75" customHeight="1" x14ac:dyDescent="0.3">
      <c r="B15" s="574">
        <f>Input!C14</f>
        <v>7500</v>
      </c>
      <c r="C15" s="574"/>
      <c r="E15" s="574">
        <f>'Revenue Model'!H14</f>
        <v>61864967.475000001</v>
      </c>
      <c r="F15" s="574"/>
      <c r="H15" s="574">
        <f>'Cost sheet'!C43</f>
        <v>900</v>
      </c>
      <c r="I15" s="574"/>
    </row>
    <row r="16" spans="2:9" ht="15.75" customHeight="1" x14ac:dyDescent="0.3">
      <c r="B16" s="4" t="s">
        <v>548</v>
      </c>
      <c r="E16" s="4" t="s">
        <v>858</v>
      </c>
      <c r="H16" s="4" t="s">
        <v>859</v>
      </c>
    </row>
    <row r="17" spans="2:9" ht="15.75" customHeight="1" x14ac:dyDescent="0.3"/>
    <row r="18" spans="2:9" ht="7.5" customHeight="1" x14ac:dyDescent="0.3"/>
    <row r="19" spans="2:9" ht="21.75" customHeight="1" x14ac:dyDescent="0.3">
      <c r="B19" s="575" t="s">
        <v>818</v>
      </c>
      <c r="C19" s="575"/>
      <c r="E19" s="575" t="s">
        <v>860</v>
      </c>
      <c r="F19" s="575"/>
      <c r="H19" s="575" t="s">
        <v>861</v>
      </c>
      <c r="I19" s="575"/>
    </row>
    <row r="20" spans="2:9" ht="19.5" customHeight="1" x14ac:dyDescent="0.3">
      <c r="B20" s="576" t="s">
        <v>862</v>
      </c>
      <c r="C20" s="576"/>
      <c r="E20" s="576" t="s">
        <v>863</v>
      </c>
      <c r="F20" s="576"/>
      <c r="H20" s="576" t="s">
        <v>864</v>
      </c>
      <c r="I20" s="576"/>
    </row>
    <row r="21" spans="2:9" ht="27.75" customHeight="1" x14ac:dyDescent="0.3">
      <c r="B21" s="574">
        <f>'P&amp;L'!C26</f>
        <v>-2960439.3745184187</v>
      </c>
      <c r="C21" s="574"/>
      <c r="E21" s="577">
        <f>'P&amp;L'!C15</f>
        <v>0.91876798104586221</v>
      </c>
      <c r="F21" s="577"/>
      <c r="H21" s="578">
        <f>'Break Even'!C27</f>
        <v>161</v>
      </c>
      <c r="I21" s="578"/>
    </row>
    <row r="22" spans="2:9" ht="15.75" customHeight="1" x14ac:dyDescent="0.3">
      <c r="B22" s="4" t="s">
        <v>865</v>
      </c>
      <c r="E22" s="4" t="s">
        <v>866</v>
      </c>
      <c r="H22" s="4" t="s">
        <v>867</v>
      </c>
    </row>
    <row r="23" spans="2:9" ht="15.75" customHeight="1" x14ac:dyDescent="0.3"/>
    <row r="24" spans="2:9" ht="19.5" customHeight="1" x14ac:dyDescent="0.3">
      <c r="B24" s="576" t="s">
        <v>868</v>
      </c>
      <c r="C24" s="576"/>
      <c r="E24" s="576" t="s">
        <v>869</v>
      </c>
      <c r="F24" s="576"/>
      <c r="H24" s="576" t="s">
        <v>647</v>
      </c>
      <c r="I24" s="576"/>
    </row>
    <row r="25" spans="2:9" ht="27.75" customHeight="1" x14ac:dyDescent="0.3">
      <c r="B25" s="574">
        <f>'P&amp;L'!C43</f>
        <v>-9919939.3745184187</v>
      </c>
      <c r="C25" s="574"/>
      <c r="E25" s="577">
        <f>IFERROR('P&amp;L'!C43/'P&amp;L'!C10,0)</f>
        <v>-0.93265822140599264</v>
      </c>
      <c r="F25" s="577"/>
      <c r="H25" s="577">
        <f>'Break Even'!C28</f>
        <v>1.61</v>
      </c>
      <c r="I25" s="577"/>
    </row>
    <row r="26" spans="2:9" ht="15.75" customHeight="1" x14ac:dyDescent="0.3">
      <c r="B26" s="4" t="s">
        <v>870</v>
      </c>
      <c r="E26" s="4" t="s">
        <v>871</v>
      </c>
      <c r="H26" s="4" t="s">
        <v>872</v>
      </c>
    </row>
    <row r="27" spans="2:9" ht="15.75" customHeight="1" x14ac:dyDescent="0.3"/>
    <row r="28" spans="2:9" ht="19.5" customHeight="1" x14ac:dyDescent="0.3">
      <c r="B28" s="576" t="s">
        <v>873</v>
      </c>
      <c r="C28" s="576"/>
      <c r="E28" s="576" t="s">
        <v>874</v>
      </c>
      <c r="F28" s="576"/>
      <c r="H28" s="576" t="s">
        <v>875</v>
      </c>
      <c r="I28" s="576"/>
    </row>
    <row r="29" spans="2:9" ht="27.75" customHeight="1" x14ac:dyDescent="0.3">
      <c r="B29" s="574">
        <f>'P&amp;L'!G45</f>
        <v>-37411456.62403138</v>
      </c>
      <c r="C29" s="574"/>
      <c r="E29" s="577">
        <f>IFERROR('P&amp;L'!C26/'P&amp;L'!C10,0)</f>
        <v>-0.2783361891012221</v>
      </c>
      <c r="F29" s="577"/>
      <c r="H29" s="574">
        <f>Occupancy!C49</f>
        <v>14163.166015123355</v>
      </c>
      <c r="I29" s="574"/>
    </row>
    <row r="30" spans="2:9" ht="15.75" customHeight="1" x14ac:dyDescent="0.3">
      <c r="B30" s="4" t="s">
        <v>876</v>
      </c>
      <c r="E30" s="4" t="s">
        <v>877</v>
      </c>
      <c r="H30" s="4" t="s">
        <v>878</v>
      </c>
    </row>
    <row r="31" spans="2:9" ht="15.75" customHeight="1" x14ac:dyDescent="0.3"/>
    <row r="32" spans="2:9" ht="7.5" customHeight="1" x14ac:dyDescent="0.3"/>
    <row r="33" spans="2:9" ht="21.75" customHeight="1" x14ac:dyDescent="0.3">
      <c r="B33" s="567" t="s">
        <v>879</v>
      </c>
      <c r="C33" s="567"/>
      <c r="E33" s="567" t="s">
        <v>880</v>
      </c>
      <c r="F33" s="567"/>
      <c r="H33" s="567" t="s">
        <v>881</v>
      </c>
      <c r="I33" s="567"/>
    </row>
    <row r="34" spans="2:9" ht="19.5" customHeight="1" x14ac:dyDescent="0.3">
      <c r="B34" s="570" t="s">
        <v>627</v>
      </c>
      <c r="C34" s="570"/>
      <c r="E34" s="570" t="s">
        <v>882</v>
      </c>
      <c r="F34" s="570"/>
      <c r="H34" s="570" t="s">
        <v>883</v>
      </c>
      <c r="I34" s="570"/>
    </row>
    <row r="35" spans="2:9" ht="27.75" customHeight="1" x14ac:dyDescent="0.3">
      <c r="B35" s="574">
        <f>'Cost sheet'!C15</f>
        <v>88950000</v>
      </c>
      <c r="C35" s="574"/>
      <c r="E35" s="574">
        <f>'Cash Budget'!N24</f>
        <v>19127360.625481587</v>
      </c>
      <c r="F35" s="574"/>
      <c r="H35" s="574">
        <f>'Working Capital'!C22</f>
        <v>16115071.250963166</v>
      </c>
      <c r="I35" s="574"/>
    </row>
    <row r="36" spans="2:9" ht="15.75" customHeight="1" x14ac:dyDescent="0.3">
      <c r="B36" s="4" t="s">
        <v>884</v>
      </c>
      <c r="E36" s="4" t="s">
        <v>885</v>
      </c>
      <c r="H36" s="4" t="s">
        <v>886</v>
      </c>
    </row>
    <row r="37" spans="2:9" ht="15.75" customHeight="1" x14ac:dyDescent="0.3"/>
    <row r="38" spans="2:9" ht="19.5" customHeight="1" x14ac:dyDescent="0.3">
      <c r="B38" s="570" t="s">
        <v>830</v>
      </c>
      <c r="C38" s="570"/>
      <c r="E38" s="570" t="s">
        <v>887</v>
      </c>
      <c r="F38" s="570"/>
      <c r="H38" s="570" t="s">
        <v>888</v>
      </c>
      <c r="I38" s="570"/>
    </row>
    <row r="39" spans="2:9" ht="27.75" customHeight="1" x14ac:dyDescent="0.3">
      <c r="B39" s="574">
        <f>'Investment Appraisal'!C30</f>
        <v>-111804258.30717614</v>
      </c>
      <c r="C39" s="574"/>
      <c r="E39" s="574">
        <f>'Cash Budget'!D32</f>
        <v>13506691.87644475</v>
      </c>
      <c r="F39" s="574"/>
      <c r="H39" s="579">
        <f>'Working Capital'!C23</f>
        <v>3.3936618190639232</v>
      </c>
      <c r="I39" s="579"/>
    </row>
    <row r="40" spans="2:9" ht="15.75" customHeight="1" x14ac:dyDescent="0.3">
      <c r="B40" s="4" t="s">
        <v>889</v>
      </c>
      <c r="E40" s="4" t="s">
        <v>890</v>
      </c>
      <c r="H40" s="4" t="s">
        <v>891</v>
      </c>
    </row>
    <row r="41" spans="2:9" ht="15.75" customHeight="1" x14ac:dyDescent="0.3"/>
    <row r="42" spans="2:9" ht="19.5" customHeight="1" x14ac:dyDescent="0.3">
      <c r="B42" s="570" t="s">
        <v>892</v>
      </c>
      <c r="C42" s="570"/>
      <c r="E42" s="570" t="s">
        <v>893</v>
      </c>
      <c r="F42" s="570"/>
      <c r="H42" s="570" t="s">
        <v>894</v>
      </c>
      <c r="I42" s="570"/>
    </row>
    <row r="43" spans="2:9" ht="27.75" customHeight="1" x14ac:dyDescent="0.3">
      <c r="B43" s="582" t="str">
        <f>'Investment Appraisal'!C31</f>
        <v>Loss-making</v>
      </c>
      <c r="C43" s="582"/>
      <c r="E43" s="574">
        <f>'Cash Budget'!C40</f>
        <v>-2853553.2812098712</v>
      </c>
      <c r="F43" s="574"/>
      <c r="H43" s="583">
        <f>'Working Capital'!C25</f>
        <v>18.026767330356467</v>
      </c>
      <c r="I43" s="583"/>
    </row>
    <row r="44" spans="2:9" ht="15.75" customHeight="1" x14ac:dyDescent="0.3">
      <c r="B44" s="4" t="s">
        <v>895</v>
      </c>
      <c r="E44" s="4" t="s">
        <v>896</v>
      </c>
      <c r="H44" s="4" t="s">
        <v>897</v>
      </c>
    </row>
    <row r="45" spans="2:9" ht="15.75" customHeight="1" x14ac:dyDescent="0.3"/>
    <row r="46" spans="2:9" ht="7.5" customHeight="1" x14ac:dyDescent="0.3"/>
    <row r="47" spans="2:9" ht="21.75" customHeight="1" x14ac:dyDescent="0.3">
      <c r="B47" s="580" t="s">
        <v>898</v>
      </c>
      <c r="C47" s="580"/>
      <c r="D47" s="580"/>
      <c r="E47" s="580"/>
      <c r="F47" s="580"/>
      <c r="G47" s="580"/>
      <c r="H47" s="580"/>
      <c r="I47" s="580"/>
    </row>
    <row r="48" spans="2:9" ht="30" customHeight="1" x14ac:dyDescent="0.3">
      <c r="B48" s="581" t="str">
        <f>'Scenario '!C50</f>
        <v>✓ RENT — Lower risk, lower investment, better P&amp;L</v>
      </c>
      <c r="C48" s="581"/>
      <c r="D48" s="581"/>
      <c r="E48" s="581"/>
      <c r="F48" s="581"/>
      <c r="G48" s="581"/>
      <c r="H48" s="581"/>
      <c r="I48" s="581"/>
    </row>
    <row r="50" spans="2:9" ht="19.5" customHeight="1" x14ac:dyDescent="0.3">
      <c r="B50" s="575" t="s">
        <v>285</v>
      </c>
      <c r="C50" s="575"/>
      <c r="D50" s="575"/>
      <c r="E50" s="575"/>
      <c r="F50" s="575"/>
      <c r="G50" s="575"/>
      <c r="H50" s="575"/>
      <c r="I50" s="575"/>
    </row>
    <row r="51" spans="2:9" ht="19.5" customHeight="1" x14ac:dyDescent="0.3">
      <c r="B51" s="5" t="s">
        <v>899</v>
      </c>
      <c r="C51" s="5" t="s">
        <v>900</v>
      </c>
      <c r="E51" s="5" t="s">
        <v>901</v>
      </c>
      <c r="F51" s="5" t="s">
        <v>902</v>
      </c>
      <c r="G51" s="5" t="s">
        <v>903</v>
      </c>
      <c r="H51" s="5" t="s">
        <v>904</v>
      </c>
      <c r="I51" s="5" t="s">
        <v>905</v>
      </c>
    </row>
    <row r="52" spans="2:9" ht="24" customHeight="1" x14ac:dyDescent="0.3">
      <c r="B52" s="6" t="str">
        <f>'Cost sheet'!C74</f>
        <v>✓ Match</v>
      </c>
      <c r="C52" s="6" t="str">
        <f>'Cost sheet'!C75</f>
        <v>✓ Match</v>
      </c>
      <c r="E52" s="6" t="str">
        <f>'P&amp;L'!C55</f>
        <v>✓ Match</v>
      </c>
      <c r="F52" s="6" t="str">
        <f>'P&amp;L'!C56</f>
        <v>✓ Match</v>
      </c>
      <c r="G52" s="6" t="str">
        <f>'P&amp;L'!C57</f>
        <v>✓ Match</v>
      </c>
      <c r="H52" s="6" t="str">
        <f>'Break Even'!C64</f>
        <v>✓ Match</v>
      </c>
      <c r="I52" s="6" t="str">
        <f>'Break Even'!C65</f>
        <v>✓ Match</v>
      </c>
    </row>
  </sheetData>
  <mergeCells count="67">
    <mergeCell ref="B50:I50"/>
    <mergeCell ref="B42:C42"/>
    <mergeCell ref="E42:F42"/>
    <mergeCell ref="H42:I42"/>
    <mergeCell ref="B43:C43"/>
    <mergeCell ref="E43:F43"/>
    <mergeCell ref="H43:I43"/>
    <mergeCell ref="B39:C39"/>
    <mergeCell ref="E39:F39"/>
    <mergeCell ref="H39:I39"/>
    <mergeCell ref="B47:I47"/>
    <mergeCell ref="B48:I48"/>
    <mergeCell ref="B35:C35"/>
    <mergeCell ref="E35:F35"/>
    <mergeCell ref="H35:I35"/>
    <mergeCell ref="B38:C38"/>
    <mergeCell ref="E38:F38"/>
    <mergeCell ref="H38:I38"/>
    <mergeCell ref="B33:C33"/>
    <mergeCell ref="E33:F33"/>
    <mergeCell ref="H33:I33"/>
    <mergeCell ref="B34:C34"/>
    <mergeCell ref="E34:F34"/>
    <mergeCell ref="H34:I34"/>
    <mergeCell ref="B28:C28"/>
    <mergeCell ref="E28:F28"/>
    <mergeCell ref="H28:I28"/>
    <mergeCell ref="B29:C29"/>
    <mergeCell ref="E29:F29"/>
    <mergeCell ref="H29:I29"/>
    <mergeCell ref="B24:C24"/>
    <mergeCell ref="E24:F24"/>
    <mergeCell ref="H24:I24"/>
    <mergeCell ref="B25:C25"/>
    <mergeCell ref="E25:F25"/>
    <mergeCell ref="H25:I25"/>
    <mergeCell ref="B20:C20"/>
    <mergeCell ref="E20:F20"/>
    <mergeCell ref="H20:I20"/>
    <mergeCell ref="B21:C21"/>
    <mergeCell ref="E21:F21"/>
    <mergeCell ref="H21:I21"/>
    <mergeCell ref="B15:C15"/>
    <mergeCell ref="E15:F15"/>
    <mergeCell ref="H15:I15"/>
    <mergeCell ref="B19:C19"/>
    <mergeCell ref="E19:F19"/>
    <mergeCell ref="H19:I19"/>
    <mergeCell ref="B11:C11"/>
    <mergeCell ref="E11:F11"/>
    <mergeCell ref="H11:I11"/>
    <mergeCell ref="B14:C14"/>
    <mergeCell ref="E14:F14"/>
    <mergeCell ref="H14:I14"/>
    <mergeCell ref="B7:C7"/>
    <mergeCell ref="E7:F7"/>
    <mergeCell ref="H7:I7"/>
    <mergeCell ref="B10:C10"/>
    <mergeCell ref="E10:F10"/>
    <mergeCell ref="H10:I10"/>
    <mergeCell ref="B2:I2"/>
    <mergeCell ref="B5:C5"/>
    <mergeCell ref="E5:F5"/>
    <mergeCell ref="H5:I5"/>
    <mergeCell ref="B6:C6"/>
    <mergeCell ref="E6:F6"/>
    <mergeCell ref="H6:I6"/>
  </mergeCells>
  <hyperlinks>
    <hyperlink ref="B1" location="'Navigation Tab'!A1" display="Navigation Tab" xr:uid="{4B3465AC-E995-4BE8-BF1F-C3CF2C0CA81E}"/>
  </hyperlink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Navigation Tab</vt:lpstr>
      <vt:lpstr>Dashboard</vt:lpstr>
      <vt:lpstr>Input</vt:lpstr>
      <vt:lpstr>Assumptions</vt:lpstr>
      <vt:lpstr>Revenue</vt:lpstr>
      <vt:lpstr>Cost sheet</vt:lpstr>
      <vt:lpstr>Occupancy</vt:lpstr>
      <vt:lpstr>Revenue Model</vt:lpstr>
      <vt:lpstr>P&amp;L</vt:lpstr>
      <vt:lpstr>Cash Budget</vt:lpstr>
      <vt:lpstr>Working Capital</vt:lpstr>
      <vt:lpstr>Standard Cost</vt:lpstr>
      <vt:lpstr>Flexible Budget</vt:lpstr>
      <vt:lpstr>Break Even</vt:lpstr>
      <vt:lpstr>Sensitivity</vt:lpstr>
      <vt:lpstr>Investment Appraisal</vt:lpstr>
      <vt:lpstr>WACC</vt:lpstr>
      <vt:lpstr>Scenario </vt:lpstr>
      <vt:lpstr>Summary</vt:lpstr>
      <vt:lpstr>Assumptions!Print_Titles</vt:lpstr>
      <vt:lpstr>'Break Even'!Print_Titles</vt:lpstr>
      <vt:lpstr>'Cash Budget'!Print_Titles</vt:lpstr>
      <vt:lpstr>'Cost sheet'!Print_Titles</vt:lpstr>
      <vt:lpstr>'Flexible Budget'!Print_Titles</vt:lpstr>
      <vt:lpstr>Input!Print_Titles</vt:lpstr>
      <vt:lpstr>Occupancy!Print_Titles</vt:lpstr>
      <vt:lpstr>'P&amp;L'!Print_Titles</vt:lpstr>
      <vt:lpstr>Revenue!Print_Titles</vt:lpstr>
      <vt:lpstr>'Revenue Model'!Print_Titles</vt:lpstr>
      <vt:lpstr>'Standard Cost'!Print_Titles</vt:lpstr>
      <vt:lpstr>'Working Capital'!Print_Titles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LIG3</cp:lastModifiedBy>
  <cp:revision>3</cp:revision>
  <dcterms:created xsi:type="dcterms:W3CDTF">2026-03-27T07:58:13Z</dcterms:created>
  <dcterms:modified xsi:type="dcterms:W3CDTF">2026-05-06T10:36:55Z</dcterms:modified>
  <dc:language>en-US</dc:language>
</cp:coreProperties>
</file>