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500" firstSheet="2" activeTab="5" autoFilterDateGrouping="1"/>
  </bookViews>
  <sheets>
    <sheet xmlns:r="http://schemas.openxmlformats.org/officeDocument/2006/relationships" name="Navigation Tab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put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Cost sheet" sheetId="6" state="visible" r:id="rId6"/>
    <sheet xmlns:r="http://schemas.openxmlformats.org/officeDocument/2006/relationships" name="Occupancy" sheetId="7" state="visible" r:id="rId7"/>
    <sheet xmlns:r="http://schemas.openxmlformats.org/officeDocument/2006/relationships" name="Revenue Model" sheetId="8" state="visible" r:id="rId8"/>
    <sheet xmlns:r="http://schemas.openxmlformats.org/officeDocument/2006/relationships" name="P&amp;L" sheetId="9" state="visible" r:id="rId9"/>
    <sheet xmlns:r="http://schemas.openxmlformats.org/officeDocument/2006/relationships" name="Cash Budget" sheetId="10" state="visible" r:id="rId10"/>
    <sheet xmlns:r="http://schemas.openxmlformats.org/officeDocument/2006/relationships" name="Working Capital" sheetId="11" state="visible" r:id="rId11"/>
    <sheet xmlns:r="http://schemas.openxmlformats.org/officeDocument/2006/relationships" name="Standard Cost" sheetId="12" state="visible" r:id="rId12"/>
    <sheet xmlns:r="http://schemas.openxmlformats.org/officeDocument/2006/relationships" name="Flexible Budget" sheetId="13" state="visible" r:id="rId13"/>
    <sheet xmlns:r="http://schemas.openxmlformats.org/officeDocument/2006/relationships" name="Break Even" sheetId="14" state="visible" r:id="rId14"/>
    <sheet xmlns:r="http://schemas.openxmlformats.org/officeDocument/2006/relationships" name="Sensitivity" sheetId="15" state="visible" r:id="rId15"/>
    <sheet xmlns:r="http://schemas.openxmlformats.org/officeDocument/2006/relationships" name="Investment Appraisal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Scenario " sheetId="18" state="visible" r:id="rId18"/>
    <sheet xmlns:r="http://schemas.openxmlformats.org/officeDocument/2006/relationships" name="Summary" sheetId="19" state="visible" r:id="rId19"/>
  </sheets>
  <definedNames>
    <definedName name="_xlchart.v1.0" hidden="1">Dashboard!$CB$28</definedName>
    <definedName name="_xlchart.v1.1" hidden="1">Dashboard!$CC$26:$CH$27</definedName>
    <definedName name="_xlchart.v1.2" hidden="1">Dashboard!$CC$28:$CH$28</definedName>
    <definedName name="_xlchart.v1.3" hidden="1">'Investment Appraisal'!$B$49</definedName>
    <definedName name="_xlchart.v1.4" hidden="1">'Investment Appraisal'!$C$47:$H$48</definedName>
    <definedName name="_xlchart.v1.5" hidden="1">'Investment Appraisal'!$C$49:$H$49</definedName>
    <definedName name="_xlnm.Print_Area" localSheetId="1">'Dashboard'!$A$1:$AL$86</definedName>
    <definedName name="_xlnm.Print_Titles" localSheetId="2">'Input'!$1:$3</definedName>
    <definedName name="_xlnm.Print_Titles" localSheetId="3">'Assumptions'!$1:$3</definedName>
    <definedName name="_xlnm.Print_Titles" localSheetId="4">'Revenue'!$1:$3</definedName>
    <definedName name="_xlnm.Print_Titles" localSheetId="5">'Cost sheet'!$1:$3</definedName>
    <definedName name="_xlnm.Print_Titles" localSheetId="6">'Occupancy'!$1:$3</definedName>
    <definedName name="_xlnm.Print_Titles" localSheetId="7">'Revenue Model'!$1:$3</definedName>
    <definedName name="_xlnm.Print_Titles" localSheetId="8">'P&amp;L'!$1:$6</definedName>
    <definedName name="_xlnm.Print_Titles" localSheetId="9">'Cash Budget'!$1:$6</definedName>
    <definedName name="_xlnm.Print_Titles" localSheetId="10">'Working Capital'!$1:$6</definedName>
    <definedName name="_xlnm.Print_Titles" localSheetId="11">'Standard Cost'!$1:$6</definedName>
    <definedName name="_xlnm.Print_Titles" localSheetId="12">'Flexible Budget'!$1:$6</definedName>
    <definedName name="_xlnm.Print_Titles" localSheetId="13">'Break Even'!$1:$6</definedName>
    <definedName name="_xlnm.Print_Area" localSheetId="14">'Sensitivity'!$B$1:$J$56</definedName>
    <definedName name="_xlnm.Print_Area" localSheetId="15">'Investment Appraisal'!$B$1:$J$49</definedName>
    <definedName name="_xlnm.Print_Area" localSheetId="16">'WACC'!$B$1:$D$20</definedName>
    <definedName name="_xlnm.Print_Area" localSheetId="17">'Scenario '!$B$1:$F$60</definedName>
    <definedName name="_xlnm.Print_Area" localSheetId="18">'Summary'!$B$1:$I$52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2">
    <numFmt numFmtId="164" formatCode="#,##0;\(#,##0\);\-"/>
    <numFmt numFmtId="165" formatCode="\₹#,##0;&quot;(₹&quot;#,##0\);\-"/>
    <numFmt numFmtId="166" formatCode="0.0%;\-0.0%;\-"/>
    <numFmt numFmtId="167" formatCode="0.0\x"/>
    <numFmt numFmtId="168" formatCode="0.0%;\(0.0%\);\-"/>
    <numFmt numFmtId="169" formatCode="0.00\x"/>
    <numFmt numFmtId="170" formatCode="0.0"/>
    <numFmt numFmtId="171" formatCode="0.0000"/>
    <numFmt numFmtId="172" formatCode="0.0%"/>
    <numFmt numFmtId="173" formatCode="\₹0.00&quot; Cr&quot;"/>
    <numFmt numFmtId="174" formatCode="&quot;Year &quot;0"/>
    <numFmt numFmtId="175" formatCode="#,##0&quot; seats&quot;"/>
  </numFmts>
  <fonts count="85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charset val="1"/>
      <family val="2"/>
      <i val="1"/>
      <color rgb="FF595959"/>
      <sz val="11"/>
    </font>
    <font>
      <name val="Arial"/>
      <charset val="1"/>
      <i val="1"/>
      <color rgb="FF595959"/>
      <sz val="8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0"/>
    </font>
    <font>
      <name val="Arial"/>
      <charset val="1"/>
      <b val="1"/>
      <color rgb="FF000000"/>
      <sz val="14"/>
    </font>
    <font>
      <name val="Arial"/>
      <charset val="1"/>
      <b val="1"/>
      <color rgb="FFFFFFFF"/>
      <sz val="12"/>
    </font>
    <font>
      <name val="Arial"/>
      <charset val="1"/>
      <b val="1"/>
      <sz val="8"/>
    </font>
    <font>
      <name val="Arial"/>
      <charset val="1"/>
      <b val="1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sz val="12"/>
    </font>
    <font>
      <name val="Arial"/>
      <charset val="1"/>
      <family val="2"/>
      <b val="1"/>
      <color rgb="FFFFFFFF"/>
      <sz val="14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rgb="FFFFFFFF"/>
      <sz val="18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6"/>
    </font>
    <font>
      <name val="Arial"/>
      <family val="2"/>
      <b val="1"/>
      <sz val="16"/>
    </font>
    <font>
      <name val="Arial"/>
      <family val="2"/>
      <b val="1"/>
      <color rgb="FFC00000"/>
      <sz val="16"/>
    </font>
    <font>
      <name val="Arial"/>
      <family val="2"/>
      <b val="1"/>
      <color rgb="FFFFFFFF"/>
      <sz val="12"/>
    </font>
    <font>
      <name val="Arial"/>
      <family val="2"/>
      <b val="1"/>
      <color rgb="FF000000"/>
      <sz val="12"/>
    </font>
    <font>
      <name val="Arial"/>
      <family val="2"/>
      <sz val="12"/>
    </font>
    <font>
      <name val="Arial"/>
      <family val="2"/>
      <color rgb="FF0000FF"/>
      <sz val="12"/>
    </font>
    <font>
      <name val="Arial"/>
      <family val="2"/>
      <color rgb="FF000000"/>
      <sz val="12"/>
    </font>
    <font>
      <name val="Arial"/>
      <family val="2"/>
      <b val="1"/>
      <color rgb="FF0000FF"/>
      <sz val="12"/>
    </font>
    <font>
      <name val="Arial"/>
      <family val="2"/>
      <color theme="1"/>
      <sz val="12"/>
    </font>
    <font>
      <name val="Arial"/>
      <family val="2"/>
      <color rgb="FF595959"/>
      <sz val="12"/>
    </font>
    <font>
      <name val="Arial"/>
      <charset val="1"/>
      <family val="2"/>
      <i val="1"/>
      <color rgb="FF595959"/>
      <sz val="14"/>
    </font>
    <font>
      <name val="Arial"/>
      <charset val="1"/>
      <family val="2"/>
      <color rgb="FF0000FF"/>
      <sz val="12"/>
    </font>
    <font>
      <name val="Arial"/>
      <charset val="1"/>
      <family val="2"/>
      <color rgb="FF008000"/>
      <sz val="12"/>
    </font>
    <font>
      <name val="Calibri"/>
      <charset val="1"/>
      <family val="2"/>
      <color theme="1"/>
      <sz val="12"/>
    </font>
    <font>
      <name val="Arial"/>
      <family val="2"/>
      <color rgb="FF008000"/>
      <sz val="12"/>
    </font>
    <font>
      <name val="Arial"/>
      <charset val="1"/>
      <family val="2"/>
      <b val="1"/>
      <color rgb="FF000000"/>
      <sz val="12"/>
    </font>
    <font>
      <name val="Arial"/>
      <family val="2"/>
      <b val="1"/>
      <i val="1"/>
      <color rgb="FF595959"/>
      <sz val="14"/>
    </font>
    <font>
      <name val="Arial"/>
      <charset val="1"/>
      <family val="2"/>
      <color rgb="FF000000"/>
      <sz val="12"/>
    </font>
    <font>
      <name val="Arial"/>
      <charset val="1"/>
      <family val="2"/>
      <b val="1"/>
      <sz val="12"/>
    </font>
    <font>
      <name val="Arial"/>
      <family val="2"/>
      <i val="1"/>
      <color rgb="FFFFFFFF"/>
      <sz val="14"/>
    </font>
    <font>
      <name val="Arial"/>
      <family val="2"/>
      <i val="1"/>
      <color rgb="FF595959"/>
      <sz val="14"/>
    </font>
    <font>
      <name val="Arial"/>
      <charset val="1"/>
      <family val="2"/>
      <color rgb="FF595959"/>
      <sz val="12"/>
    </font>
    <font>
      <name val="Arial"/>
      <family val="2"/>
      <b val="1"/>
      <color rgb="FF008000"/>
      <sz val="12"/>
    </font>
    <font>
      <name val="Arial"/>
      <family val="2"/>
      <b val="1"/>
      <sz val="12"/>
    </font>
    <font>
      <name val="Calibri"/>
      <family val="2"/>
      <b val="1"/>
      <color theme="1"/>
      <sz val="16"/>
    </font>
    <font>
      <name val="Arial"/>
      <family val="2"/>
      <b val="1"/>
      <color rgb="FFFFFFFF"/>
      <sz val="18"/>
    </font>
    <font>
      <name val="Arial"/>
      <family val="2"/>
      <i val="1"/>
      <color rgb="FF595959"/>
      <sz val="12"/>
    </font>
    <font>
      <name val="Arial"/>
      <family val="2"/>
      <b val="1"/>
      <color rgb="FF2E5DA8"/>
      <sz val="12"/>
    </font>
    <font>
      <name val="Arial"/>
      <family val="2"/>
      <i val="1"/>
      <color rgb="FF0070C0"/>
      <sz val="12"/>
    </font>
    <font>
      <name val="Arial"/>
      <family val="2"/>
      <b val="1"/>
      <i val="1"/>
      <color rgb="FF0070C0"/>
      <sz val="12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3"/>
    </font>
    <font>
      <name val="Arial"/>
      <family val="2"/>
      <b val="1"/>
      <color rgb="FFFFFFFF"/>
      <sz val="13"/>
    </font>
    <font>
      <name val="Arial"/>
      <family val="2"/>
      <i val="1"/>
      <color rgb="FF000000"/>
      <sz val="12"/>
    </font>
    <font>
      <name val="Arial"/>
      <family val="2"/>
      <i val="1"/>
      <color rgb="FF595959"/>
      <sz val="9"/>
    </font>
    <font>
      <name val="Arial"/>
      <family val="2"/>
      <b val="1"/>
      <color rgb="FFC00000"/>
      <sz val="12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1"/>
      <sz val="12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color rgb="FFFFFFFF"/>
      <sz val="14"/>
    </font>
    <font>
      <name val="Calibri"/>
      <charset val="1"/>
      <family val="2"/>
      <sz val="8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theme="10"/>
      <sz val="16"/>
      <u val="single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24"/>
    </font>
    <font>
      <name val="Arial"/>
      <family val="2"/>
      <color theme="1"/>
      <sz val="16"/>
    </font>
    <font>
      <name val="Arial"/>
      <family val="2"/>
      <b val="1"/>
      <color rgb="FF1F3864"/>
      <sz val="16"/>
    </font>
    <font>
      <name val="Calibri"/>
      <family val="2"/>
      <b val="1"/>
      <color rgb="FF1F3864"/>
      <sz val="11"/>
      <scheme val="minor"/>
    </font>
    <font>
      <name val="Arial"/>
      <family val="2"/>
      <i val="1"/>
      <color rgb="FF595959"/>
      <sz val="10"/>
    </font>
    <font>
      <name val="Arial"/>
      <family val="2"/>
      <color theme="10"/>
      <sz val="16"/>
      <u val="single"/>
    </font>
    <font>
      <name val="Arial"/>
      <family val="2"/>
      <color theme="1"/>
      <sz val="14"/>
    </font>
    <font>
      <name val="Arial"/>
      <family val="2"/>
      <b val="1"/>
      <color rgb="FF1F3864"/>
      <sz val="14"/>
    </font>
    <font>
      <name val="Arial"/>
      <family val="2"/>
      <b val="1"/>
      <color theme="0"/>
      <sz val="20"/>
    </font>
    <font>
      <name val="Arial"/>
      <family val="2"/>
      <b val="1"/>
      <color theme="1"/>
      <sz val="20"/>
    </font>
    <font>
      <name val="Arial"/>
      <family val="2"/>
      <b val="1"/>
      <color theme="10"/>
      <sz val="20"/>
      <u val="single"/>
    </font>
    <font>
      <name val="Arial"/>
      <b val="1"/>
      <i val="1"/>
      <color rgb="FF0070C0"/>
      <sz val="12"/>
    </font>
    <font>
      <name val="Arial"/>
      <b val="1"/>
      <color rgb="FF1F4E78"/>
      <sz val="13"/>
    </font>
    <font>
      <name val="Arial"/>
      <b val="1"/>
      <color rgb="FFFFFFFF"/>
      <sz val="13"/>
    </font>
    <font>
      <name val="Arial"/>
      <b val="1"/>
      <i val="1"/>
      <color rgb="FF0070C0"/>
      <sz val="11"/>
    </font>
    <font>
      <name val="Calibri"/>
      <color rgb="FF008000"/>
      <sz val="11"/>
    </font>
    <font>
      <name val="Calibri"/>
      <color rgb="FF0000FF"/>
      <sz val="11"/>
    </font>
    <font>
      <name val="Calibri"/>
      <color rgb="FF000000"/>
      <sz val="11"/>
    </font>
  </fonts>
  <fills count="29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DA8"/>
        <bgColor rgb="FF2E75B6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1ABC9C"/>
        <bgColor rgb="FF00CCFF"/>
      </patternFill>
    </fill>
    <fill>
      <patternFill patternType="solid">
        <fgColor rgb="FF404040"/>
        <bgColor rgb="FF375623"/>
      </patternFill>
    </fill>
    <fill>
      <patternFill patternType="solid">
        <fgColor rgb="FFE2EFDA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4472C4"/>
        <bgColor rgb="FF2E75B6"/>
      </patternFill>
    </fill>
    <fill>
      <patternFill patternType="solid">
        <fgColor rgb="FF375623"/>
        <bgColor rgb="FF404040"/>
      </patternFill>
    </fill>
    <fill>
      <patternFill patternType="solid">
        <fgColor rgb="FFDDEBF7"/>
        <bgColor rgb="FFE2EFDA"/>
      </patternFill>
    </fill>
    <fill>
      <patternFill patternType="solid">
        <fgColor rgb="FFC00000"/>
        <bgColor rgb="FFFF0000"/>
      </patternFill>
    </fill>
    <fill>
      <patternFill patternType="solid">
        <fgColor rgb="FF0070C0"/>
        <bgColor rgb="FF008080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D9D9D9"/>
      </patternFill>
    </fill>
    <fill>
      <patternFill patternType="solid">
        <fgColor rgb="FF1F4E7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7999816888943144"/>
        <bgColor rgb="FFF2F2F2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F2F2F2"/>
      </patternFill>
    </fill>
    <fill>
      <patternFill patternType="solid">
        <fgColor theme="3"/>
        <bgColor rgb="FFE2EFDA"/>
      </patternFill>
    </fill>
    <fill>
      <patternFill patternType="solid">
        <fgColor theme="3"/>
        <bgColor rgb="FF404040"/>
      </patternFill>
    </fill>
  </fills>
  <borders count="6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FBFBF"/>
      </bottom>
      <diagonal/>
    </border>
    <border>
      <left/>
      <right/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medium">
        <color rgb="FF2E5DA8"/>
      </left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/>
      <right style="thin">
        <color rgb="FFBFBFBF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medium">
        <color indexed="64"/>
      </right>
      <top/>
      <bottom/>
      <diagonal/>
    </border>
    <border>
      <left style="thin">
        <color rgb="FFBFBFBF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</borders>
  <cellStyleXfs count="4">
    <xf numFmtId="0" fontId="57" fillId="0" borderId="0"/>
    <xf numFmtId="9" fontId="57" fillId="0" borderId="0"/>
    <xf numFmtId="0" fontId="1" fillId="0" borderId="0"/>
    <xf numFmtId="0" fontId="64" fillId="0" borderId="0"/>
  </cellStyleXfs>
  <cellXfs count="667">
    <xf numFmtId="0" fontId="0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10" borderId="1" pivotButton="0" quotePrefix="0" xfId="0"/>
    <xf numFmtId="0" fontId="4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/>
    </xf>
    <xf numFmtId="164" fontId="26" fillId="4" borderId="1" applyAlignment="1" pivotButton="0" quotePrefix="0" xfId="0">
      <alignment horizontal="right" vertical="center"/>
    </xf>
    <xf numFmtId="165" fontId="27" fillId="6" borderId="1" applyAlignment="1" pivotButton="0" quotePrefix="0" xfId="0">
      <alignment horizontal="right" vertical="center"/>
    </xf>
    <xf numFmtId="0" fontId="29" fillId="0" borderId="0" pivotButton="0" quotePrefix="0" xfId="0"/>
    <xf numFmtId="166" fontId="26" fillId="4" borderId="1" applyAlignment="1" pivotButton="0" quotePrefix="0" xfId="0">
      <alignment horizontal="right" vertical="center"/>
    </xf>
    <xf numFmtId="0" fontId="27" fillId="0" borderId="1" applyAlignment="1" pivotButton="0" quotePrefix="0" xfId="0">
      <alignment horizontal="left" vertical="center"/>
    </xf>
    <xf numFmtId="165" fontId="30" fillId="6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165" fontId="32" fillId="6" borderId="1" applyAlignment="1" pivotButton="0" quotePrefix="0" xfId="0">
      <alignment horizontal="right" vertical="center"/>
    </xf>
    <xf numFmtId="165" fontId="33" fillId="9" borderId="1" applyAlignment="1" pivotButton="0" quotePrefix="0" xfId="0">
      <alignment horizontal="right" vertical="center"/>
    </xf>
    <xf numFmtId="0" fontId="34" fillId="0" borderId="0" pivotButton="0" quotePrefix="0" xfId="0"/>
    <xf numFmtId="166" fontId="32" fillId="6" borderId="1" applyAlignment="1" pivotButton="0" quotePrefix="0" xfId="0">
      <alignment horizontal="right" vertical="center"/>
    </xf>
    <xf numFmtId="166" fontId="33" fillId="9" borderId="1" applyAlignment="1" pivotButton="0" quotePrefix="0" xfId="0">
      <alignment horizontal="right" vertical="center"/>
    </xf>
    <xf numFmtId="0" fontId="21" fillId="0" borderId="6" applyAlignment="1" pivotButton="0" quotePrefix="0" xfId="0">
      <alignment horizontal="left" vertical="center"/>
    </xf>
    <xf numFmtId="0" fontId="24" fillId="5" borderId="12" applyAlignment="1" pivotButton="0" quotePrefix="0" xfId="0">
      <alignment horizontal="center" vertical="center" wrapText="1"/>
    </xf>
    <xf numFmtId="0" fontId="24" fillId="5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left" vertical="center"/>
    </xf>
    <xf numFmtId="0" fontId="25" fillId="0" borderId="13" applyAlignment="1" pivotButton="0" quotePrefix="0" xfId="0">
      <alignment horizontal="left" vertical="center"/>
    </xf>
    <xf numFmtId="0" fontId="25" fillId="0" borderId="14" applyAlignment="1" pivotButton="0" quotePrefix="0" xfId="0">
      <alignment horizontal="left" vertical="center"/>
    </xf>
    <xf numFmtId="165" fontId="26" fillId="4" borderId="15" applyAlignment="1" pivotButton="0" quotePrefix="0" xfId="0">
      <alignment horizontal="right" vertical="center"/>
    </xf>
    <xf numFmtId="0" fontId="25" fillId="0" borderId="15" applyAlignment="1" pivotButton="0" quotePrefix="0" xfId="0">
      <alignment horizontal="left" vertical="center"/>
    </xf>
    <xf numFmtId="0" fontId="25" fillId="0" borderId="16" applyAlignment="1" pivotButton="0" quotePrefix="0" xfId="0">
      <alignment horizontal="left" vertical="center"/>
    </xf>
    <xf numFmtId="0" fontId="27" fillId="0" borderId="14" applyAlignment="1" pivotButton="0" quotePrefix="0" xfId="0">
      <alignment horizontal="left" vertical="center"/>
    </xf>
    <xf numFmtId="164" fontId="26" fillId="4" borderId="15" applyAlignment="1" pivotButton="0" quotePrefix="0" xfId="0">
      <alignment horizontal="right" vertical="center"/>
    </xf>
    <xf numFmtId="0" fontId="27" fillId="0" borderId="15" applyAlignment="1" pivotButton="0" quotePrefix="0" xfId="0">
      <alignment horizontal="left" vertical="center"/>
    </xf>
    <xf numFmtId="0" fontId="27" fillId="0" borderId="16" applyAlignment="1" pivotButton="0" quotePrefix="0" xfId="0">
      <alignment horizontal="left" vertical="center"/>
    </xf>
    <xf numFmtId="165" fontId="30" fillId="6" borderId="15" applyAlignment="1" pivotButton="0" quotePrefix="0" xfId="0">
      <alignment horizontal="right" vertical="center"/>
    </xf>
    <xf numFmtId="0" fontId="27" fillId="10" borderId="18" applyAlignment="1" pivotButton="0" quotePrefix="0" xfId="0">
      <alignment horizontal="left" vertical="center"/>
    </xf>
    <xf numFmtId="166" fontId="26" fillId="17" borderId="18" applyAlignment="1" pivotButton="0" quotePrefix="0" xfId="0">
      <alignment horizontal="right" vertical="center"/>
    </xf>
    <xf numFmtId="166" fontId="35" fillId="18" borderId="18" applyAlignment="1" pivotButton="0" quotePrefix="0" xfId="0">
      <alignment horizontal="right" vertical="center"/>
    </xf>
    <xf numFmtId="0" fontId="16" fillId="3" borderId="13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15" fillId="0" borderId="14" applyAlignment="1" pivotButton="0" quotePrefix="0" xfId="0">
      <alignment horizontal="left" vertical="center"/>
    </xf>
    <xf numFmtId="165" fontId="32" fillId="6" borderId="15" applyAlignment="1" pivotButton="0" quotePrefix="0" xfId="0">
      <alignment horizontal="right" vertical="center"/>
    </xf>
    <xf numFmtId="165" fontId="33" fillId="9" borderId="15" applyAlignment="1" pivotButton="0" quotePrefix="0" xfId="0">
      <alignment horizontal="right" vertical="center"/>
    </xf>
    <xf numFmtId="0" fontId="15" fillId="0" borderId="16" applyAlignment="1" pivotButton="0" quotePrefix="0" xfId="0">
      <alignment horizontal="left" vertical="center"/>
    </xf>
    <xf numFmtId="0" fontId="27" fillId="10" borderId="14" applyAlignment="1" pivotButton="0" quotePrefix="0" xfId="0">
      <alignment horizontal="left" vertical="center"/>
    </xf>
    <xf numFmtId="166" fontId="26" fillId="4" borderId="15" applyAlignment="1" pivotButton="0" quotePrefix="0" xfId="0">
      <alignment horizontal="right" vertical="center"/>
    </xf>
    <xf numFmtId="166" fontId="35" fillId="9" borderId="15" applyAlignment="1" pivotButton="0" quotePrefix="0" xfId="0">
      <alignment horizontal="right" vertical="center"/>
    </xf>
    <xf numFmtId="0" fontId="27" fillId="10" borderId="16" applyAlignment="1" pivotButton="0" quotePrefix="0" xfId="0">
      <alignment horizontal="left" vertical="center"/>
    </xf>
    <xf numFmtId="164" fontId="33" fillId="9" borderId="1" applyAlignment="1" pivotButton="0" quotePrefix="0" xfId="0">
      <alignment horizontal="right" vertical="center"/>
    </xf>
    <xf numFmtId="0" fontId="36" fillId="5" borderId="1" applyAlignment="1" pivotButton="0" quotePrefix="0" xfId="0">
      <alignment horizontal="center" vertical="center" wrapText="1"/>
    </xf>
    <xf numFmtId="165" fontId="38" fillId="10" borderId="1" applyAlignment="1" pivotButton="0" quotePrefix="0" xfId="0">
      <alignment horizontal="right" vertical="center"/>
    </xf>
    <xf numFmtId="166" fontId="38" fillId="10" borderId="1" applyAlignment="1" pivotButton="0" quotePrefix="0" xfId="0">
      <alignment horizontal="right" vertical="center"/>
    </xf>
    <xf numFmtId="0" fontId="34" fillId="5" borderId="1" pivotButton="0" quotePrefix="0" xfId="0"/>
    <xf numFmtId="165" fontId="39" fillId="5" borderId="1" applyAlignment="1" pivotButton="0" quotePrefix="0" xfId="0">
      <alignment horizontal="right" vertical="center"/>
    </xf>
    <xf numFmtId="0" fontId="39" fillId="5" borderId="14" applyAlignment="1" pivotButton="0" quotePrefix="0" xfId="0">
      <alignment horizontal="left" vertical="center"/>
    </xf>
    <xf numFmtId="165" fontId="39" fillId="5" borderId="15" applyAlignment="1" pivotButton="0" quotePrefix="0" xfId="0">
      <alignment horizontal="right" vertical="center"/>
    </xf>
    <xf numFmtId="0" fontId="34" fillId="0" borderId="8" pivotButton="0" quotePrefix="0" xfId="0"/>
    <xf numFmtId="0" fontId="27" fillId="10" borderId="12" applyAlignment="1" pivotButton="0" quotePrefix="0" xfId="0">
      <alignment horizontal="left" vertical="center"/>
    </xf>
    <xf numFmtId="165" fontId="27" fillId="6" borderId="13" applyAlignment="1" pivotButton="0" quotePrefix="0" xfId="0">
      <alignment horizontal="right" vertical="center"/>
    </xf>
    <xf numFmtId="164" fontId="33" fillId="9" borderId="15" applyAlignment="1" pivotButton="0" quotePrefix="0" xfId="0">
      <alignment horizontal="right" vertical="center"/>
    </xf>
    <xf numFmtId="0" fontId="36" fillId="5" borderId="0" applyAlignment="1" pivotButton="0" quotePrefix="0" xfId="0">
      <alignment horizontal="center" vertical="center" wrapText="1"/>
    </xf>
    <xf numFmtId="164" fontId="33" fillId="9" borderId="0" applyAlignment="1" pivotButton="0" quotePrefix="0" xfId="0">
      <alignment horizontal="right" vertical="center"/>
    </xf>
    <xf numFmtId="165" fontId="33" fillId="9" borderId="0" applyAlignment="1" pivotButton="0" quotePrefix="0" xfId="0">
      <alignment horizontal="right" vertical="center"/>
    </xf>
    <xf numFmtId="167" fontId="32" fillId="6" borderId="0" applyAlignment="1" pivotButton="0" quotePrefix="0" xfId="0">
      <alignment horizontal="right" vertical="center"/>
    </xf>
    <xf numFmtId="165" fontId="38" fillId="10" borderId="0" applyAlignment="1" pivotButton="0" quotePrefix="0" xfId="0">
      <alignment horizontal="right" vertical="center"/>
    </xf>
    <xf numFmtId="166" fontId="38" fillId="10" borderId="0" applyAlignment="1" pivotButton="0" quotePrefix="0" xfId="0">
      <alignment horizontal="right" vertical="center"/>
    </xf>
    <xf numFmtId="164" fontId="32" fillId="6" borderId="0" applyAlignment="1" pivotButton="0" quotePrefix="0" xfId="0">
      <alignment horizontal="right" vertical="center"/>
    </xf>
    <xf numFmtId="165" fontId="32" fillId="4" borderId="0" applyAlignment="1" pivotButton="0" quotePrefix="0" xfId="0">
      <alignment horizontal="right" vertical="center"/>
    </xf>
    <xf numFmtId="0" fontId="36" fillId="5" borderId="26" applyAlignment="1" pivotButton="0" quotePrefix="0" xfId="0">
      <alignment horizontal="center" vertical="center" wrapText="1"/>
    </xf>
    <xf numFmtId="0" fontId="36" fillId="5" borderId="27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left" vertical="center"/>
    </xf>
    <xf numFmtId="0" fontId="15" fillId="0" borderId="27" applyAlignment="1" pivotButton="0" quotePrefix="0" xfId="0">
      <alignment horizontal="left" vertical="center"/>
    </xf>
    <xf numFmtId="0" fontId="25" fillId="0" borderId="27" applyAlignment="1" pivotButton="0" quotePrefix="0" xfId="0">
      <alignment horizontal="left" vertical="center"/>
    </xf>
    <xf numFmtId="0" fontId="39" fillId="5" borderId="6" applyAlignment="1" pivotButton="0" quotePrefix="0" xfId="0">
      <alignment horizontal="left" vertical="center"/>
    </xf>
    <xf numFmtId="0" fontId="34" fillId="5" borderId="7" pivotButton="0" quotePrefix="0" xfId="0"/>
    <xf numFmtId="166" fontId="39" fillId="5" borderId="7" applyAlignment="1" pivotButton="0" quotePrefix="0" xfId="0">
      <alignment horizontal="right" vertical="center"/>
    </xf>
    <xf numFmtId="165" fontId="38" fillId="6" borderId="27" applyAlignment="1" pivotButton="0" quotePrefix="0" xfId="0">
      <alignment horizontal="right" vertical="center"/>
    </xf>
    <xf numFmtId="0" fontId="27" fillId="10" borderId="26" applyAlignment="1" pivotButton="0" quotePrefix="0" xfId="0">
      <alignment horizontal="left" vertical="center"/>
    </xf>
    <xf numFmtId="165" fontId="27" fillId="6" borderId="27" applyAlignment="1" pivotButton="0" quotePrefix="0" xfId="0">
      <alignment horizontal="right" vertical="center"/>
    </xf>
    <xf numFmtId="166" fontId="27" fillId="9" borderId="27" applyAlignment="1" pivotButton="0" quotePrefix="0" xfId="0">
      <alignment horizontal="right" vertical="center"/>
    </xf>
    <xf numFmtId="0" fontId="27" fillId="10" borderId="6" applyAlignment="1" pivotButton="0" quotePrefix="0" xfId="0">
      <alignment horizontal="left" vertical="center"/>
    </xf>
    <xf numFmtId="165" fontId="27" fillId="9" borderId="8" applyAlignment="1" pivotButton="0" quotePrefix="0" xfId="0">
      <alignment horizontal="right" vertical="center"/>
    </xf>
    <xf numFmtId="164" fontId="38" fillId="10" borderId="1" applyAlignment="1" pivotButton="0" quotePrefix="0" xfId="0">
      <alignment horizontal="right" vertical="center"/>
    </xf>
    <xf numFmtId="165" fontId="36" fillId="5" borderId="1" applyAlignment="1" pivotButton="0" quotePrefix="0" xfId="0">
      <alignment horizontal="right" vertical="center"/>
    </xf>
    <xf numFmtId="165" fontId="36" fillId="9" borderId="1" applyAlignment="1" pivotButton="0" quotePrefix="0" xfId="0">
      <alignment horizontal="right" vertical="center"/>
    </xf>
    <xf numFmtId="0" fontId="36" fillId="9" borderId="1" applyAlignment="1" pivotButton="0" quotePrefix="0" xfId="0">
      <alignment horizontal="right" vertical="center"/>
    </xf>
    <xf numFmtId="0" fontId="27" fillId="9" borderId="1" applyAlignment="1" pivotButton="0" quotePrefix="0" xfId="0">
      <alignment horizontal="right" vertical="center"/>
    </xf>
    <xf numFmtId="0" fontId="23" fillId="3" borderId="1" applyAlignment="1" pivotButton="0" quotePrefix="0" xfId="0">
      <alignment horizontal="center" vertical="center" wrapText="1"/>
    </xf>
    <xf numFmtId="165" fontId="27" fillId="10" borderId="1" applyAlignment="1" pivotButton="0" quotePrefix="0" xfId="0">
      <alignment horizontal="right" vertical="center"/>
    </xf>
    <xf numFmtId="0" fontId="34" fillId="0" borderId="1" pivotButton="0" quotePrefix="0" xfId="0"/>
    <xf numFmtId="0" fontId="36" fillId="5" borderId="12" applyAlignment="1" pivotButton="0" quotePrefix="0" xfId="0">
      <alignment horizontal="center" vertical="center" wrapText="1"/>
    </xf>
    <xf numFmtId="0" fontId="36" fillId="5" borderId="13" applyAlignment="1" pivotButton="0" quotePrefix="0" xfId="0">
      <alignment horizontal="center" vertical="center" wrapText="1"/>
    </xf>
    <xf numFmtId="0" fontId="42" fillId="6" borderId="13" applyAlignment="1" pivotButton="0" quotePrefix="0" xfId="0">
      <alignment horizontal="center" vertical="center"/>
    </xf>
    <xf numFmtId="0" fontId="39" fillId="5" borderId="12" applyAlignment="1" pivotButton="0" quotePrefix="0" xfId="0">
      <alignment horizontal="left" vertical="center"/>
    </xf>
    <xf numFmtId="0" fontId="34" fillId="5" borderId="13" pivotButton="0" quotePrefix="0" xfId="0"/>
    <xf numFmtId="165" fontId="38" fillId="6" borderId="15" applyAlignment="1" pivotButton="0" quotePrefix="0" xfId="0">
      <alignment horizontal="right" vertical="center"/>
    </xf>
    <xf numFmtId="0" fontId="15" fillId="0" borderId="15" applyAlignment="1" pivotButton="0" quotePrefix="0" xfId="0">
      <alignment horizontal="left" vertical="center"/>
    </xf>
    <xf numFmtId="0" fontId="34" fillId="5" borderId="16" pivotButton="0" quotePrefix="0" xfId="0"/>
    <xf numFmtId="0" fontId="23" fillId="8" borderId="1" applyAlignment="1" pivotButton="0" quotePrefix="0" xfId="0">
      <alignment vertical="center"/>
    </xf>
    <xf numFmtId="0" fontId="23" fillId="3" borderId="12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center" vertical="center" wrapText="1"/>
    </xf>
    <xf numFmtId="0" fontId="27" fillId="10" borderId="13" applyAlignment="1" pivotButton="0" quotePrefix="0" xfId="0">
      <alignment horizontal="left" vertical="center"/>
    </xf>
    <xf numFmtId="165" fontId="27" fillId="10" borderId="15" applyAlignment="1" pivotButton="0" quotePrefix="0" xfId="0">
      <alignment horizontal="right" vertical="center"/>
    </xf>
    <xf numFmtId="0" fontId="34" fillId="0" borderId="15" pivotButton="0" quotePrefix="0" xfId="0"/>
    <xf numFmtId="165" fontId="39" fillId="19" borderId="7" applyAlignment="1" pivotButton="0" quotePrefix="0" xfId="0">
      <alignment horizontal="right" vertical="center"/>
    </xf>
    <xf numFmtId="166" fontId="27" fillId="10" borderId="1" applyAlignment="1" pivotButton="0" quotePrefix="0" xfId="0">
      <alignment horizontal="right" vertical="center"/>
    </xf>
    <xf numFmtId="165" fontId="35" fillId="9" borderId="1" applyAlignment="1" pivotButton="0" quotePrefix="0" xfId="0">
      <alignment horizontal="right" vertical="center"/>
    </xf>
    <xf numFmtId="166" fontId="27" fillId="6" borderId="1" applyAlignment="1" pivotButton="0" quotePrefix="0" xfId="0">
      <alignment horizontal="right" vertical="center"/>
    </xf>
    <xf numFmtId="0" fontId="44" fillId="5" borderId="1" applyAlignment="1" pivotButton="0" quotePrefix="0" xfId="0">
      <alignment horizontal="center" vertical="center" wrapText="1"/>
    </xf>
    <xf numFmtId="164" fontId="27" fillId="10" borderId="1" applyAlignment="1" pivotButton="0" quotePrefix="0" xfId="0">
      <alignment horizontal="left" vertical="center"/>
    </xf>
    <xf numFmtId="164" fontId="35" fillId="9" borderId="1" applyAlignment="1" pivotButton="0" quotePrefix="0" xfId="0">
      <alignment horizontal="left" vertical="center"/>
    </xf>
    <xf numFmtId="166" fontId="27" fillId="10" borderId="1" applyAlignment="1" pivotButton="0" quotePrefix="0" xfId="0">
      <alignment horizontal="left" vertical="center"/>
    </xf>
    <xf numFmtId="166" fontId="35" fillId="9" borderId="1" applyAlignment="1" pivotButton="0" quotePrefix="0" xfId="0">
      <alignment horizontal="left" vertical="center"/>
    </xf>
    <xf numFmtId="165" fontId="27" fillId="10" borderId="1" applyAlignment="1" pivotButton="0" quotePrefix="0" xfId="0">
      <alignment horizontal="left" vertical="center"/>
    </xf>
    <xf numFmtId="165" fontId="35" fillId="9" borderId="1" applyAlignment="1" pivotButton="0" quotePrefix="0" xfId="0">
      <alignment horizontal="left" vertical="center"/>
    </xf>
    <xf numFmtId="165" fontId="24" fillId="5" borderId="1" applyAlignment="1" pivotButton="0" quotePrefix="0" xfId="0">
      <alignment horizontal="left" vertical="center"/>
    </xf>
    <xf numFmtId="165" fontId="44" fillId="9" borderId="1" applyAlignment="1" pivotButton="0" quotePrefix="0" xfId="0">
      <alignment horizontal="left" vertical="center"/>
    </xf>
    <xf numFmtId="166" fontId="27" fillId="6" borderId="1" applyAlignment="1" pivotButton="0" quotePrefix="0" xfId="0">
      <alignment horizontal="left" vertical="center"/>
    </xf>
    <xf numFmtId="0" fontId="44" fillId="5" borderId="1" applyAlignment="1" pivotButton="0" quotePrefix="0" xfId="0">
      <alignment horizontal="left" vertical="center" wrapText="1"/>
    </xf>
    <xf numFmtId="165" fontId="35" fillId="6" borderId="1" applyAlignment="1" pivotButton="0" quotePrefix="0" xfId="0">
      <alignment horizontal="left" vertical="center"/>
    </xf>
    <xf numFmtId="164" fontId="27" fillId="6" borderId="1" applyAlignment="1" pivotButton="0" quotePrefix="0" xfId="0">
      <alignment horizontal="left" vertical="center"/>
    </xf>
    <xf numFmtId="0" fontId="19" fillId="3" borderId="23" applyAlignment="1" pivotButton="0" quotePrefix="0" xfId="0">
      <alignment vertical="center"/>
    </xf>
    <xf numFmtId="0" fontId="19" fillId="3" borderId="24" applyAlignment="1" pivotButton="0" quotePrefix="0" xfId="0">
      <alignment vertical="center"/>
    </xf>
    <xf numFmtId="0" fontId="19" fillId="3" borderId="25" applyAlignment="1" pivotButton="0" quotePrefix="0" xfId="0">
      <alignment vertical="center"/>
    </xf>
    <xf numFmtId="0" fontId="44" fillId="5" borderId="12" applyAlignment="1" pivotButton="0" quotePrefix="0" xfId="0">
      <alignment horizontal="left" vertical="center" wrapText="1"/>
    </xf>
    <xf numFmtId="0" fontId="44" fillId="5" borderId="13" applyAlignment="1" pivotButton="0" quotePrefix="0" xfId="0">
      <alignment horizontal="left" vertical="center" wrapText="1"/>
    </xf>
    <xf numFmtId="0" fontId="27" fillId="0" borderId="12" applyAlignment="1" pivotButton="0" quotePrefix="0" xfId="0">
      <alignment horizontal="left" vertical="center"/>
    </xf>
    <xf numFmtId="0" fontId="27" fillId="0" borderId="13" applyAlignment="1" pivotButton="0" quotePrefix="0" xfId="0">
      <alignment horizontal="left" vertical="center"/>
    </xf>
    <xf numFmtId="165" fontId="35" fillId="9" borderId="15" applyAlignment="1" pivotButton="0" quotePrefix="0" xfId="0">
      <alignment horizontal="left" vertical="center"/>
    </xf>
    <xf numFmtId="0" fontId="23" fillId="7" borderId="13" applyAlignment="1" pivotButton="0" quotePrefix="0" xfId="0">
      <alignment horizontal="left" vertical="center"/>
    </xf>
    <xf numFmtId="164" fontId="35" fillId="9" borderId="13" applyAlignment="1" pivotButton="0" quotePrefix="0" xfId="0">
      <alignment horizontal="left" vertical="center"/>
    </xf>
    <xf numFmtId="166" fontId="35" fillId="9" borderId="13" applyAlignment="1" pivotButton="0" quotePrefix="0" xfId="0">
      <alignment horizontal="left" vertical="center"/>
    </xf>
    <xf numFmtId="165" fontId="35" fillId="9" borderId="13" applyAlignment="1" pivotButton="0" quotePrefix="0" xfId="0">
      <alignment horizontal="left" vertical="center"/>
    </xf>
    <xf numFmtId="0" fontId="24" fillId="5" borderId="12" applyAlignment="1" pivotButton="0" quotePrefix="0" xfId="0">
      <alignment horizontal="left" vertical="center"/>
    </xf>
    <xf numFmtId="165" fontId="43" fillId="5" borderId="13" applyAlignment="1" pivotButton="0" quotePrefix="0" xfId="0">
      <alignment horizontal="left" vertical="center"/>
    </xf>
    <xf numFmtId="165" fontId="43" fillId="9" borderId="13" applyAlignment="1" pivotButton="0" quotePrefix="0" xfId="0">
      <alignment horizontal="left" vertical="center"/>
    </xf>
    <xf numFmtId="165" fontId="27" fillId="6" borderId="15" applyAlignment="1" pivotButton="0" quotePrefix="0" xfId="0">
      <alignment horizontal="left" vertical="center"/>
    </xf>
    <xf numFmtId="165" fontId="35" fillId="9" borderId="16" applyAlignment="1" pivotButton="0" quotePrefix="0" xfId="0">
      <alignment horizontal="left" vertical="center"/>
    </xf>
    <xf numFmtId="165" fontId="27" fillId="10" borderId="15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16" fillId="3" borderId="9" applyAlignment="1" pivotButton="0" quotePrefix="0" xfId="0">
      <alignment vertical="center"/>
    </xf>
    <xf numFmtId="0" fontId="16" fillId="3" borderId="10" applyAlignment="1" pivotButton="0" quotePrefix="0" xfId="0">
      <alignment vertical="center"/>
    </xf>
    <xf numFmtId="0" fontId="16" fillId="3" borderId="11" applyAlignment="1" pivotButton="0" quotePrefix="0" xfId="0">
      <alignment vertical="center"/>
    </xf>
    <xf numFmtId="0" fontId="16" fillId="3" borderId="23" applyAlignment="1" pivotButton="0" quotePrefix="0" xfId="0">
      <alignment vertical="center"/>
    </xf>
    <xf numFmtId="0" fontId="16" fillId="3" borderId="24" applyAlignment="1" pivotButton="0" quotePrefix="0" xfId="0">
      <alignment vertical="center"/>
    </xf>
    <xf numFmtId="0" fontId="16" fillId="3" borderId="25" applyAlignment="1" pivotButton="0" quotePrefix="0" xfId="0">
      <alignment vertical="center"/>
    </xf>
    <xf numFmtId="0" fontId="15" fillId="0" borderId="29" applyAlignment="1" pivotButton="0" quotePrefix="0" xfId="0">
      <alignment horizontal="left" vertical="center"/>
    </xf>
    <xf numFmtId="165" fontId="38" fillId="10" borderId="17" applyAlignment="1" pivotButton="0" quotePrefix="0" xfId="0">
      <alignment horizontal="right" vertical="center"/>
    </xf>
    <xf numFmtId="0" fontId="15" fillId="0" borderId="30" applyAlignment="1" pivotButton="0" quotePrefix="0" xfId="0">
      <alignment horizontal="left" vertical="center"/>
    </xf>
    <xf numFmtId="0" fontId="39" fillId="5" borderId="31" applyAlignment="1" pivotButton="0" quotePrefix="0" xfId="0">
      <alignment horizontal="left" vertical="center"/>
    </xf>
    <xf numFmtId="165" fontId="39" fillId="5" borderId="32" applyAlignment="1" pivotButton="0" quotePrefix="0" xfId="0">
      <alignment horizontal="right" vertical="center"/>
    </xf>
    <xf numFmtId="165" fontId="39" fillId="5" borderId="33" applyAlignment="1" pivotButton="0" quotePrefix="0" xfId="0">
      <alignment horizontal="right" vertical="center"/>
    </xf>
    <xf numFmtId="0" fontId="15" fillId="10" borderId="12" applyAlignment="1" pivotButton="0" quotePrefix="0" xfId="0">
      <alignment horizontal="left" vertical="center"/>
    </xf>
    <xf numFmtId="0" fontId="15" fillId="10" borderId="14" applyAlignment="1" pivotButton="0" quotePrefix="0" xfId="0">
      <alignment horizontal="left" vertical="center"/>
    </xf>
    <xf numFmtId="165" fontId="38" fillId="10" borderId="15" applyAlignment="1" pivotButton="0" quotePrefix="0" xfId="0">
      <alignment horizontal="right" vertical="center"/>
    </xf>
    <xf numFmtId="0" fontId="39" fillId="9" borderId="12" applyAlignment="1" pivotButton="0" quotePrefix="0" xfId="0">
      <alignment horizontal="left" vertical="center"/>
    </xf>
    <xf numFmtId="0" fontId="23" fillId="8" borderId="12" applyAlignment="1" pivotButton="0" quotePrefix="0" xfId="0">
      <alignment vertical="center"/>
    </xf>
    <xf numFmtId="0" fontId="23" fillId="8" borderId="13" applyAlignment="1" pivotButton="0" quotePrefix="0" xfId="0">
      <alignment vertical="center"/>
    </xf>
    <xf numFmtId="0" fontId="27" fillId="9" borderId="15" applyAlignment="1" pivotButton="0" quotePrefix="0" xfId="0">
      <alignment horizontal="right" vertical="center"/>
    </xf>
    <xf numFmtId="0" fontId="45" fillId="0" borderId="0" pivotButton="0" quotePrefix="0" xfId="0"/>
    <xf numFmtId="166" fontId="27" fillId="6" borderId="15" applyAlignment="1" pivotButton="0" quotePrefix="0" xfId="0">
      <alignment horizontal="left" vertical="center"/>
    </xf>
    <xf numFmtId="0" fontId="44" fillId="5" borderId="13" applyAlignment="1" pivotButton="0" quotePrefix="0" xfId="0">
      <alignment horizontal="center" vertical="center" wrapText="1"/>
    </xf>
    <xf numFmtId="165" fontId="44" fillId="5" borderId="1" applyAlignment="1" pivotButton="0" quotePrefix="0" xfId="0">
      <alignment horizontal="right" vertical="center"/>
    </xf>
    <xf numFmtId="0" fontId="44" fillId="5" borderId="12" applyAlignment="1" pivotButton="0" quotePrefix="0" xfId="0">
      <alignment horizontal="center" vertical="center" wrapText="1"/>
    </xf>
    <xf numFmtId="166" fontId="35" fillId="6" borderId="15" applyAlignment="1" pivotButton="0" quotePrefix="0" xfId="0">
      <alignment horizontal="right" vertical="center"/>
    </xf>
    <xf numFmtId="164" fontId="35" fillId="9" borderId="13" applyAlignment="1" pivotButton="0" quotePrefix="0" xfId="0">
      <alignment horizontal="right" vertical="center"/>
    </xf>
    <xf numFmtId="0" fontId="44" fillId="5" borderId="14" applyAlignment="1" pivotButton="0" quotePrefix="0" xfId="0">
      <alignment horizontal="left" vertical="center"/>
    </xf>
    <xf numFmtId="165" fontId="35" fillId="9" borderId="15" applyAlignment="1" pivotButton="0" quotePrefix="0" xfId="0">
      <alignment horizontal="right" vertical="center"/>
    </xf>
    <xf numFmtId="165" fontId="44" fillId="5" borderId="15" applyAlignment="1" pivotButton="0" quotePrefix="0" xfId="0">
      <alignment horizontal="right" vertical="center"/>
    </xf>
    <xf numFmtId="166" fontId="44" fillId="5" borderId="15" applyAlignment="1" pivotButton="0" quotePrefix="0" xfId="0">
      <alignment horizontal="right" vertical="center"/>
    </xf>
    <xf numFmtId="0" fontId="44" fillId="5" borderId="15" applyAlignment="1" pivotButton="0" quotePrefix="0" xfId="0">
      <alignment horizontal="right" vertical="center"/>
    </xf>
    <xf numFmtId="0" fontId="44" fillId="5" borderId="16" applyAlignment="1" pivotButton="0" quotePrefix="0" xfId="0">
      <alignment horizontal="right" vertical="center"/>
    </xf>
    <xf numFmtId="0" fontId="44" fillId="5" borderId="12" applyAlignment="1" pivotButton="0" quotePrefix="0" xfId="0">
      <alignment horizontal="left" vertical="center"/>
    </xf>
    <xf numFmtId="165" fontId="44" fillId="5" borderId="13" applyAlignment="1" pivotButton="0" quotePrefix="0" xfId="0">
      <alignment horizontal="right" vertical="center"/>
    </xf>
    <xf numFmtId="0" fontId="25" fillId="6" borderId="15" applyAlignment="1" pivotButton="0" quotePrefix="0" xfId="0">
      <alignment horizontal="center" vertical="center"/>
    </xf>
    <xf numFmtId="166" fontId="27" fillId="6" borderId="15" applyAlignment="1" pivotButton="0" quotePrefix="0" xfId="0">
      <alignment horizontal="right" vertical="center"/>
    </xf>
    <xf numFmtId="0" fontId="25" fillId="6" borderId="16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165" fontId="47" fillId="6" borderId="1" applyAlignment="1" pivotButton="0" quotePrefix="0" xfId="0">
      <alignment horizontal="right" vertical="center"/>
    </xf>
    <xf numFmtId="165" fontId="24" fillId="5" borderId="1" applyAlignment="1" pivotButton="0" quotePrefix="0" xfId="0">
      <alignment horizontal="right" vertical="center"/>
    </xf>
    <xf numFmtId="0" fontId="34" fillId="10" borderId="1" pivotButton="0" quotePrefix="0" xfId="0"/>
    <xf numFmtId="165" fontId="44" fillId="9" borderId="1" applyAlignment="1" pivotButton="0" quotePrefix="0" xfId="0">
      <alignment horizontal="right" vertical="center"/>
    </xf>
    <xf numFmtId="165" fontId="24" fillId="9" borderId="1" applyAlignment="1" pivotButton="0" quotePrefix="0" xfId="0">
      <alignment horizontal="right" vertical="center"/>
    </xf>
    <xf numFmtId="168" fontId="47" fillId="6" borderId="1" applyAlignment="1" pivotButton="0" quotePrefix="0" xfId="0">
      <alignment horizontal="right" vertical="center"/>
    </xf>
    <xf numFmtId="165" fontId="44" fillId="11" borderId="1" applyAlignment="1" pivotButton="0" quotePrefix="0" xfId="0">
      <alignment horizontal="right" vertical="center"/>
    </xf>
    <xf numFmtId="165" fontId="24" fillId="11" borderId="1" applyAlignment="1" pivotButton="0" quotePrefix="0" xfId="0">
      <alignment horizontal="right" vertical="center"/>
    </xf>
    <xf numFmtId="165" fontId="44" fillId="4" borderId="1" applyAlignment="1" pivotButton="0" quotePrefix="0" xfId="0">
      <alignment horizontal="right" vertical="center"/>
    </xf>
    <xf numFmtId="165" fontId="24" fillId="4" borderId="1" applyAlignment="1" pivotButton="0" quotePrefix="0" xfId="0">
      <alignment horizontal="right" vertical="center"/>
    </xf>
    <xf numFmtId="168" fontId="27" fillId="10" borderId="1" applyAlignment="1" pivotButton="0" quotePrefix="0" xfId="0">
      <alignment horizontal="right" vertical="center"/>
    </xf>
    <xf numFmtId="0" fontId="34" fillId="10" borderId="36" pivotButton="0" quotePrefix="0" xfId="0"/>
    <xf numFmtId="0" fontId="47" fillId="10" borderId="12" applyAlignment="1" pivotButton="0" quotePrefix="0" xfId="0">
      <alignment horizontal="left" vertical="center"/>
    </xf>
    <xf numFmtId="165" fontId="24" fillId="5" borderId="13" applyAlignment="1" pivotButton="0" quotePrefix="0" xfId="0">
      <alignment horizontal="right" vertical="center"/>
    </xf>
    <xf numFmtId="0" fontId="34" fillId="10" borderId="12" pivotButton="0" quotePrefix="0" xfId="0"/>
    <xf numFmtId="0" fontId="34" fillId="10" borderId="13" pivotButton="0" quotePrefix="0" xfId="0"/>
    <xf numFmtId="0" fontId="44" fillId="9" borderId="12" applyAlignment="1" pivotButton="0" quotePrefix="0" xfId="0">
      <alignment horizontal="left" vertical="center"/>
    </xf>
    <xf numFmtId="165" fontId="24" fillId="9" borderId="13" applyAlignment="1" pivotButton="0" quotePrefix="0" xfId="0">
      <alignment horizontal="right" vertical="center"/>
    </xf>
    <xf numFmtId="0" fontId="27" fillId="6" borderId="13" applyAlignment="1" pivotButton="0" quotePrefix="0" xfId="0">
      <alignment horizontal="right" vertical="center"/>
    </xf>
    <xf numFmtId="0" fontId="44" fillId="11" borderId="12" applyAlignment="1" pivotButton="0" quotePrefix="0" xfId="0">
      <alignment horizontal="left" vertical="center"/>
    </xf>
    <xf numFmtId="165" fontId="24" fillId="11" borderId="13" applyAlignment="1" pivotButton="0" quotePrefix="0" xfId="0">
      <alignment horizontal="right" vertical="center"/>
    </xf>
    <xf numFmtId="0" fontId="44" fillId="4" borderId="12" applyAlignment="1" pivotButton="0" quotePrefix="0" xfId="0">
      <alignment horizontal="left" vertical="center"/>
    </xf>
    <xf numFmtId="165" fontId="24" fillId="4" borderId="13" applyAlignment="1" pivotButton="0" quotePrefix="0" xfId="0">
      <alignment horizontal="right" vertical="center"/>
    </xf>
    <xf numFmtId="0" fontId="48" fillId="10" borderId="14" applyAlignment="1" pivotButton="0" quotePrefix="0" xfId="0">
      <alignment horizontal="left" vertical="center"/>
    </xf>
    <xf numFmtId="165" fontId="24" fillId="5" borderId="15" applyAlignment="1" pivotButton="0" quotePrefix="0" xfId="0">
      <alignment horizontal="right" vertical="center"/>
    </xf>
    <xf numFmtId="165" fontId="24" fillId="5" borderId="16" applyAlignment="1" pivotButton="0" quotePrefix="0" xfId="0">
      <alignment horizontal="right" vertical="center"/>
    </xf>
    <xf numFmtId="0" fontId="34" fillId="10" borderId="18" pivotButton="0" quotePrefix="0" xfId="0"/>
    <xf numFmtId="0" fontId="24" fillId="6" borderId="12" applyAlignment="1" pivotButton="0" quotePrefix="0" xfId="0">
      <alignment horizontal="left" vertical="center"/>
    </xf>
    <xf numFmtId="0" fontId="27" fillId="9" borderId="13" applyAlignment="1" pivotButton="0" quotePrefix="0" xfId="0">
      <alignment horizontal="left" vertical="center"/>
    </xf>
    <xf numFmtId="0" fontId="27" fillId="10" borderId="13" applyAlignment="1" pivotButton="0" quotePrefix="0" xfId="0">
      <alignment horizontal="right" vertical="center"/>
    </xf>
    <xf numFmtId="0" fontId="24" fillId="6" borderId="14" applyAlignment="1" pivotButton="0" quotePrefix="0" xfId="0">
      <alignment horizontal="left" vertical="center"/>
    </xf>
    <xf numFmtId="0" fontId="27" fillId="10" borderId="15" applyAlignment="1" pivotButton="0" quotePrefix="0" xfId="0">
      <alignment horizontal="left" vertical="center"/>
    </xf>
    <xf numFmtId="168" fontId="27" fillId="10" borderId="15" applyAlignment="1" pivotButton="0" quotePrefix="0" xfId="0">
      <alignment horizontal="right" vertical="center"/>
    </xf>
    <xf numFmtId="0" fontId="27" fillId="10" borderId="16" applyAlignment="1" pivotButton="0" quotePrefix="0" xfId="0">
      <alignment horizontal="right" vertical="center"/>
    </xf>
    <xf numFmtId="0" fontId="27" fillId="9" borderId="13" applyAlignment="1" pivotButton="0" quotePrefix="0" xfId="0">
      <alignment horizontal="right" vertical="center"/>
    </xf>
    <xf numFmtId="0" fontId="27" fillId="9" borderId="16" applyAlignment="1" pivotButton="0" quotePrefix="0" xfId="0">
      <alignment horizontal="right" vertical="center"/>
    </xf>
    <xf numFmtId="0" fontId="51" fillId="5" borderId="12" applyAlignment="1" pivotButton="0" quotePrefix="0" xfId="0">
      <alignment horizontal="center" vertical="center" wrapText="1"/>
    </xf>
    <xf numFmtId="0" fontId="51" fillId="5" borderId="1" applyAlignment="1" pivotButton="0" quotePrefix="0" xfId="0">
      <alignment horizontal="center" vertical="center" wrapText="1"/>
    </xf>
    <xf numFmtId="0" fontId="51" fillId="5" borderId="13" applyAlignment="1" pivotButton="0" quotePrefix="0" xfId="0">
      <alignment horizontal="center" vertical="center" wrapText="1"/>
    </xf>
    <xf numFmtId="0" fontId="51" fillId="5" borderId="12" applyAlignment="1" pivotButton="0" quotePrefix="0" xfId="0">
      <alignment horizontal="left" vertical="center" wrapText="1"/>
    </xf>
    <xf numFmtId="0" fontId="0" fillId="10" borderId="36" pivotButton="0" quotePrefix="0" xfId="0"/>
    <xf numFmtId="165" fontId="27" fillId="4" borderId="1" applyAlignment="1" pivotButton="0" quotePrefix="0" xfId="0">
      <alignment horizontal="right" vertical="center"/>
    </xf>
    <xf numFmtId="0" fontId="44" fillId="9" borderId="14" applyAlignment="1" pivotButton="0" quotePrefix="0" xfId="0">
      <alignment horizontal="left" vertical="center"/>
    </xf>
    <xf numFmtId="165" fontId="44" fillId="9" borderId="15" applyAlignment="1" pivotButton="0" quotePrefix="0" xfId="0">
      <alignment horizontal="right" vertical="center"/>
    </xf>
    <xf numFmtId="165" fontId="24" fillId="9" borderId="16" applyAlignment="1" pivotButton="0" quotePrefix="0" xfId="0">
      <alignment horizontal="right" vertical="center"/>
    </xf>
    <xf numFmtId="165" fontId="27" fillId="5" borderId="1" applyAlignment="1" pivotButton="0" quotePrefix="0" xfId="0">
      <alignment horizontal="right" vertical="center"/>
    </xf>
    <xf numFmtId="165" fontId="27" fillId="11" borderId="1" applyAlignment="1" pivotButton="0" quotePrefix="0" xfId="0">
      <alignment horizontal="right" vertical="center"/>
    </xf>
    <xf numFmtId="0" fontId="47" fillId="10" borderId="1" pivotButton="0" quotePrefix="0" xfId="0"/>
    <xf numFmtId="0" fontId="34" fillId="10" borderId="37" pivotButton="0" quotePrefix="0" xfId="0"/>
    <xf numFmtId="0" fontId="44" fillId="11" borderId="14" applyAlignment="1" pivotButton="0" quotePrefix="0" xfId="0">
      <alignment horizontal="left" vertical="center"/>
    </xf>
    <xf numFmtId="165" fontId="44" fillId="11" borderId="15" applyAlignment="1" pivotButton="0" quotePrefix="0" xfId="0">
      <alignment horizontal="right" vertical="center"/>
    </xf>
    <xf numFmtId="165" fontId="24" fillId="11" borderId="16" applyAlignment="1" pivotButton="0" quotePrefix="0" xfId="0">
      <alignment horizontal="right" vertical="center"/>
    </xf>
    <xf numFmtId="0" fontId="34" fillId="0" borderId="27" pivotButton="0" quotePrefix="0" xfId="0"/>
    <xf numFmtId="0" fontId="24" fillId="10" borderId="14" applyAlignment="1" pivotButton="0" quotePrefix="0" xfId="0">
      <alignment horizontal="left" vertical="center"/>
    </xf>
    <xf numFmtId="165" fontId="24" fillId="9" borderId="15" applyAlignment="1" pivotButton="0" quotePrefix="0" xfId="0">
      <alignment horizontal="right" vertical="center"/>
    </xf>
    <xf numFmtId="0" fontId="47" fillId="10" borderId="40" pivotButton="0" quotePrefix="0" xfId="0"/>
    <xf numFmtId="0" fontId="34" fillId="10" borderId="40" pivotButton="0" quotePrefix="0" xfId="0"/>
    <xf numFmtId="164" fontId="27" fillId="6" borderId="13" applyAlignment="1" pivotButton="0" quotePrefix="0" xfId="0">
      <alignment horizontal="right" vertical="center"/>
    </xf>
    <xf numFmtId="165" fontId="27" fillId="6" borderId="16" applyAlignment="1" pivotButton="0" quotePrefix="0" xfId="0">
      <alignment horizontal="right" vertical="center"/>
    </xf>
    <xf numFmtId="165" fontId="34" fillId="0" borderId="0" pivotButton="0" quotePrefix="0" xfId="0"/>
    <xf numFmtId="169" fontId="27" fillId="6" borderId="1" applyAlignment="1" pivotButton="0" quotePrefix="0" xfId="0">
      <alignment horizontal="right" vertical="center"/>
    </xf>
    <xf numFmtId="167" fontId="27" fillId="6" borderId="1" applyAlignment="1" pivotButton="0" quotePrefix="0" xfId="0">
      <alignment horizontal="right" vertical="center"/>
    </xf>
    <xf numFmtId="170" fontId="27" fillId="6" borderId="1" applyAlignment="1" pivotButton="0" quotePrefix="0" xfId="0">
      <alignment horizontal="right" vertical="center"/>
    </xf>
    <xf numFmtId="0" fontId="27" fillId="9" borderId="16" applyAlignment="1" pivotButton="0" quotePrefix="0" xfId="0">
      <alignment horizontal="left" vertical="center"/>
    </xf>
    <xf numFmtId="0" fontId="27" fillId="11" borderId="16" applyAlignment="1" pivotButton="0" quotePrefix="0" xfId="0">
      <alignment horizontal="left" vertical="center"/>
    </xf>
    <xf numFmtId="0" fontId="27" fillId="10" borderId="36" applyAlignment="1" pivotButton="0" quotePrefix="0" xfId="0">
      <alignment horizontal="left" vertical="center"/>
    </xf>
    <xf numFmtId="170" fontId="27" fillId="6" borderId="36" applyAlignment="1" pivotButton="0" quotePrefix="0" xfId="0">
      <alignment horizontal="right" vertical="center"/>
    </xf>
    <xf numFmtId="0" fontId="27" fillId="4" borderId="13" applyAlignment="1" pivotButton="0" quotePrefix="0" xfId="0">
      <alignment horizontal="left" vertical="center"/>
    </xf>
    <xf numFmtId="170" fontId="27" fillId="6" borderId="15" applyAlignment="1" pivotButton="0" quotePrefix="0" xfId="0">
      <alignment horizontal="right" vertical="center"/>
    </xf>
    <xf numFmtId="0" fontId="49" fillId="10" borderId="17" pivotButton="0" quotePrefix="0" xfId="0"/>
    <xf numFmtId="164" fontId="35" fillId="9" borderId="1" applyAlignment="1" pivotButton="0" quotePrefix="0" xfId="0">
      <alignment horizontal="right" vertical="center"/>
    </xf>
    <xf numFmtId="168" fontId="35" fillId="9" borderId="1" applyAlignment="1" pivotButton="0" quotePrefix="0" xfId="0">
      <alignment horizontal="right" vertical="center"/>
    </xf>
    <xf numFmtId="168" fontId="27" fillId="6" borderId="1" applyAlignment="1" pivotButton="0" quotePrefix="0" xfId="0">
      <alignment horizontal="right" vertical="center"/>
    </xf>
    <xf numFmtId="0" fontId="34" fillId="10" borderId="17" pivotButton="0" quotePrefix="0" xfId="0"/>
    <xf numFmtId="168" fontId="27" fillId="6" borderId="13" applyAlignment="1" pivotButton="0" quotePrefix="0" xfId="0">
      <alignment horizontal="right" vertical="center"/>
    </xf>
    <xf numFmtId="0" fontId="24" fillId="5" borderId="14" applyAlignment="1" pivotButton="0" quotePrefix="0" xfId="0">
      <alignment horizontal="left" vertical="center"/>
    </xf>
    <xf numFmtId="168" fontId="44" fillId="5" borderId="16" applyAlignment="1" pivotButton="0" quotePrefix="0" xfId="0">
      <alignment horizontal="right" vertical="center"/>
    </xf>
    <xf numFmtId="0" fontId="24" fillId="4" borderId="14" applyAlignment="1" pivotButton="0" quotePrefix="0" xfId="0">
      <alignment horizontal="left" vertical="center"/>
    </xf>
    <xf numFmtId="165" fontId="44" fillId="4" borderId="15" applyAlignment="1" pivotButton="0" quotePrefix="0" xfId="0">
      <alignment horizontal="right" vertical="center"/>
    </xf>
    <xf numFmtId="168" fontId="44" fillId="4" borderId="16" applyAlignment="1" pivotButton="0" quotePrefix="0" xfId="0">
      <alignment horizontal="right" vertical="center"/>
    </xf>
    <xf numFmtId="0" fontId="47" fillId="10" borderId="13" applyAlignment="1" pivotButton="0" quotePrefix="0" xfId="0">
      <alignment horizontal="left" vertical="center"/>
    </xf>
    <xf numFmtId="165" fontId="27" fillId="6" borderId="15" applyAlignment="1" pivotButton="0" quotePrefix="0" xfId="0">
      <alignment horizontal="right" vertical="center"/>
    </xf>
    <xf numFmtId="0" fontId="47" fillId="10" borderId="16" applyAlignment="1" pivotButton="0" quotePrefix="0" xfId="0">
      <alignment horizontal="left" vertical="center"/>
    </xf>
    <xf numFmtId="0" fontId="27" fillId="10" borderId="12" applyAlignment="1" pivotButton="0" quotePrefix="0" xfId="0">
      <alignment vertical="center"/>
    </xf>
    <xf numFmtId="0" fontId="27" fillId="10" borderId="12" applyAlignment="1" pivotButton="0" quotePrefix="0" xfId="0">
      <alignment horizontal="center" vertical="center"/>
    </xf>
    <xf numFmtId="165" fontId="27" fillId="10" borderId="13" applyAlignment="1" pivotButton="0" quotePrefix="0" xfId="0">
      <alignment horizontal="right" vertical="center"/>
    </xf>
    <xf numFmtId="165" fontId="44" fillId="5" borderId="16" applyAlignment="1" pivotButton="0" quotePrefix="0" xfId="0">
      <alignment horizontal="right" vertical="center"/>
    </xf>
    <xf numFmtId="49" fontId="22" fillId="4" borderId="8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 wrapText="1"/>
    </xf>
    <xf numFmtId="0" fontId="53" fillId="12" borderId="1" applyAlignment="1" pivotButton="0" quotePrefix="0" xfId="0">
      <alignment horizontal="center" vertical="center" wrapText="1"/>
    </xf>
    <xf numFmtId="0" fontId="53" fillId="3" borderId="1" applyAlignment="1" pivotButton="0" quotePrefix="0" xfId="0">
      <alignment horizontal="center" vertical="center" wrapText="1"/>
    </xf>
    <xf numFmtId="0" fontId="53" fillId="2" borderId="1" applyAlignment="1" pivotButton="0" quotePrefix="0" xfId="0">
      <alignment horizontal="center" vertical="center" wrapText="1"/>
    </xf>
    <xf numFmtId="0" fontId="53" fillId="13" borderId="1" applyAlignment="1" pivotButton="0" quotePrefix="0" xfId="0">
      <alignment horizontal="center" vertical="center" wrapText="1"/>
    </xf>
    <xf numFmtId="0" fontId="53" fillId="8" borderId="1" applyAlignment="1" pivotButton="0" quotePrefix="0" xfId="0">
      <alignment horizontal="center" vertical="center" wrapText="1"/>
    </xf>
    <xf numFmtId="165" fontId="27" fillId="14" borderId="1" applyAlignment="1" pivotButton="0" quotePrefix="0" xfId="0">
      <alignment horizontal="right" vertical="center"/>
    </xf>
    <xf numFmtId="165" fontId="27" fillId="9" borderId="1" applyAlignment="1" pivotButton="0" quotePrefix="0" xfId="0">
      <alignment horizontal="right" vertical="center"/>
    </xf>
    <xf numFmtId="0" fontId="52" fillId="5" borderId="12" applyAlignment="1" pivotButton="0" quotePrefix="0" xfId="0">
      <alignment horizontal="center" vertical="center" wrapText="1"/>
    </xf>
    <xf numFmtId="0" fontId="53" fillId="8" borderId="13" applyAlignment="1" pivotButton="0" quotePrefix="0" xfId="0">
      <alignment horizontal="center" vertical="center" wrapText="1"/>
    </xf>
    <xf numFmtId="165" fontId="44" fillId="6" borderId="15" applyAlignment="1" pivotButton="0" quotePrefix="0" xfId="0">
      <alignment horizontal="right" vertical="center"/>
    </xf>
    <xf numFmtId="165" fontId="44" fillId="6" borderId="16" applyAlignment="1" pivotButton="0" quotePrefix="0" xfId="0">
      <alignment horizontal="right" vertical="center"/>
    </xf>
    <xf numFmtId="0" fontId="0" fillId="10" borderId="18" pivotButton="0" quotePrefix="0" xfId="0"/>
    <xf numFmtId="0" fontId="24" fillId="9" borderId="12" applyAlignment="1" pivotButton="0" quotePrefix="0" xfId="0">
      <alignment horizontal="left" vertical="center"/>
    </xf>
    <xf numFmtId="0" fontId="47" fillId="10" borderId="14" applyAlignment="1" pivotButton="0" quotePrefix="0" xfId="0">
      <alignment horizontal="left" vertical="center"/>
    </xf>
    <xf numFmtId="168" fontId="54" fillId="6" borderId="15" applyAlignment="1" pivotButton="0" quotePrefix="0" xfId="0">
      <alignment horizontal="right" vertical="center"/>
    </xf>
    <xf numFmtId="168" fontId="27" fillId="6" borderId="15" applyAlignment="1" pivotButton="0" quotePrefix="0" xfId="0">
      <alignment horizontal="right" vertical="center"/>
    </xf>
    <xf numFmtId="168" fontId="27" fillId="6" borderId="16" applyAlignment="1" pivotButton="0" quotePrefix="0" xfId="0">
      <alignment horizontal="right" vertical="center"/>
    </xf>
    <xf numFmtId="0" fontId="24" fillId="11" borderId="14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19" fillId="3" borderId="9" applyAlignment="1" pivotButton="0" quotePrefix="0" xfId="0">
      <alignment vertical="center"/>
    </xf>
    <xf numFmtId="0" fontId="19" fillId="3" borderId="11" applyAlignment="1" pivotButton="0" quotePrefix="0" xfId="0">
      <alignment vertical="center"/>
    </xf>
    <xf numFmtId="0" fontId="16" fillId="3" borderId="12" applyAlignment="1" pivotButton="0" quotePrefix="0" xfId="0">
      <alignment horizontal="center" vertical="center" wrapText="1"/>
    </xf>
    <xf numFmtId="164" fontId="27" fillId="10" borderId="1" applyAlignment="1" pivotButton="0" quotePrefix="0" xfId="0">
      <alignment horizontal="right" vertical="center"/>
    </xf>
    <xf numFmtId="168" fontId="27" fillId="4" borderId="1" applyAlignment="1" pivotButton="0" quotePrefix="0" xfId="0">
      <alignment horizontal="right" vertical="center"/>
    </xf>
    <xf numFmtId="164" fontId="27" fillId="4" borderId="1" applyAlignment="1" pivotButton="0" quotePrefix="0" xfId="0">
      <alignment horizontal="right" vertical="center"/>
    </xf>
    <xf numFmtId="0" fontId="0" fillId="10" borderId="17" pivotButton="0" quotePrefix="0" xfId="0"/>
    <xf numFmtId="168" fontId="26" fillId="10" borderId="12" applyAlignment="1" pivotButton="0" quotePrefix="0" xfId="0">
      <alignment horizontal="right" vertical="center"/>
    </xf>
    <xf numFmtId="168" fontId="27" fillId="10" borderId="13" applyAlignment="1" pivotButton="0" quotePrefix="0" xfId="0">
      <alignment horizontal="right" vertical="center"/>
    </xf>
    <xf numFmtId="168" fontId="28" fillId="4" borderId="12" applyAlignment="1" pivotButton="0" quotePrefix="0" xfId="0">
      <alignment horizontal="right" vertical="center"/>
    </xf>
    <xf numFmtId="168" fontId="27" fillId="4" borderId="13" applyAlignment="1" pivotButton="0" quotePrefix="0" xfId="0">
      <alignment horizontal="right" vertical="center"/>
    </xf>
    <xf numFmtId="168" fontId="26" fillId="10" borderId="14" applyAlignment="1" pivotButton="0" quotePrefix="0" xfId="0">
      <alignment horizontal="right" vertical="center"/>
    </xf>
    <xf numFmtId="164" fontId="27" fillId="10" borderId="15" applyAlignment="1" pivotButton="0" quotePrefix="0" xfId="0">
      <alignment horizontal="right" vertical="center"/>
    </xf>
    <xf numFmtId="168" fontId="27" fillId="10" borderId="16" applyAlignment="1" pivotButton="0" quotePrefix="0" xfId="0">
      <alignment horizontal="right" vertical="center"/>
    </xf>
    <xf numFmtId="165" fontId="27" fillId="10" borderId="12" applyAlignment="1" pivotButton="0" quotePrefix="0" xfId="0">
      <alignment horizontal="right" vertical="center"/>
    </xf>
    <xf numFmtId="165" fontId="26" fillId="4" borderId="12" applyAlignment="1" pivotButton="0" quotePrefix="0" xfId="0">
      <alignment horizontal="right" vertical="center"/>
    </xf>
    <xf numFmtId="165" fontId="27" fillId="10" borderId="14" applyAlignment="1" pivotButton="0" quotePrefix="0" xfId="0">
      <alignment horizontal="right" vertical="center"/>
    </xf>
    <xf numFmtId="0" fontId="24" fillId="10" borderId="12" applyAlignment="1" pivotButton="0" quotePrefix="0" xfId="0">
      <alignment horizontal="left" vertical="center"/>
    </xf>
    <xf numFmtId="168" fontId="27" fillId="9" borderId="15" applyAlignment="1" pivotButton="0" quotePrefix="0" xfId="0">
      <alignment horizontal="right" vertical="center"/>
    </xf>
    <xf numFmtId="168" fontId="35" fillId="9" borderId="15" applyAlignment="1" pivotButton="0" quotePrefix="0" xfId="0">
      <alignment horizontal="right" vertical="center"/>
    </xf>
    <xf numFmtId="0" fontId="55" fillId="0" borderId="1" pivotButton="0" quotePrefix="0" xfId="0"/>
    <xf numFmtId="0" fontId="5" fillId="8" borderId="1" applyAlignment="1" pivotButton="0" quotePrefix="0" xfId="0">
      <alignment vertical="center"/>
    </xf>
    <xf numFmtId="0" fontId="0" fillId="10" borderId="0" pivotButton="0" quotePrefix="0" xfId="0"/>
    <xf numFmtId="0" fontId="28" fillId="4" borderId="12" applyAlignment="1" pivotButton="0" quotePrefix="0" xfId="0">
      <alignment horizontal="center" vertical="center"/>
    </xf>
    <xf numFmtId="0" fontId="27" fillId="10" borderId="14" applyAlignment="1" pivotButton="0" quotePrefix="0" xfId="0">
      <alignment horizontal="center" vertical="center"/>
    </xf>
    <xf numFmtId="165" fontId="27" fillId="10" borderId="16" applyAlignment="1" pivotButton="0" quotePrefix="0" xfId="0">
      <alignment horizontal="right" vertical="center"/>
    </xf>
    <xf numFmtId="165" fontId="56" fillId="11" borderId="1" applyAlignment="1" pivotButton="0" quotePrefix="0" xfId="0">
      <alignment horizontal="right" vertical="center"/>
    </xf>
    <xf numFmtId="171" fontId="27" fillId="6" borderId="1" applyAlignment="1" pivotButton="0" quotePrefix="0" xfId="0">
      <alignment horizontal="right" vertical="center"/>
    </xf>
    <xf numFmtId="165" fontId="44" fillId="4" borderId="13" applyAlignment="1" pivotButton="0" quotePrefix="0" xfId="0">
      <alignment horizontal="right" vertical="center"/>
    </xf>
    <xf numFmtId="165" fontId="27" fillId="9" borderId="13" applyAlignment="1" pivotButton="0" quotePrefix="0" xfId="0">
      <alignment horizontal="right" vertical="center"/>
    </xf>
    <xf numFmtId="0" fontId="24" fillId="9" borderId="14" applyAlignment="1" pivotButton="0" quotePrefix="0" xfId="0">
      <alignment horizontal="left" vertical="center"/>
    </xf>
    <xf numFmtId="165" fontId="44" fillId="9" borderId="16" applyAlignment="1" pivotButton="0" quotePrefix="0" xfId="0">
      <alignment horizontal="right" vertical="center"/>
    </xf>
    <xf numFmtId="171" fontId="27" fillId="6" borderId="13" applyAlignment="1" pivotButton="0" quotePrefix="0" xfId="0">
      <alignment horizontal="right" vertical="center"/>
    </xf>
    <xf numFmtId="0" fontId="27" fillId="10" borderId="15" applyAlignment="1" pivotButton="0" quotePrefix="0" xfId="0">
      <alignment horizontal="right" vertical="center"/>
    </xf>
    <xf numFmtId="0" fontId="23" fillId="15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  <xf numFmtId="165" fontId="24" fillId="10" borderId="1" applyAlignment="1" pivotButton="0" quotePrefix="0" xfId="0">
      <alignment horizontal="right" vertical="center"/>
    </xf>
    <xf numFmtId="168" fontId="24" fillId="10" borderId="1" applyAlignment="1" pivotButton="0" quotePrefix="0" xfId="0">
      <alignment horizontal="right" vertical="center"/>
    </xf>
    <xf numFmtId="0" fontId="25" fillId="6" borderId="15" applyAlignment="1" pivotButton="0" quotePrefix="0" xfId="0">
      <alignment horizontal="right" vertical="center"/>
    </xf>
    <xf numFmtId="168" fontId="25" fillId="6" borderId="16" applyAlignment="1" pivotButton="0" quotePrefix="0" xfId="0">
      <alignment horizontal="right" vertical="center"/>
    </xf>
    <xf numFmtId="165" fontId="24" fillId="11" borderId="15" applyAlignment="1" pivotButton="0" quotePrefix="0" xfId="0">
      <alignment horizontal="right" vertical="center"/>
    </xf>
    <xf numFmtId="0" fontId="23" fillId="8" borderId="13" applyAlignment="1" pivotButton="0" quotePrefix="0" xfId="0">
      <alignment horizontal="center" vertical="center" wrapText="1"/>
    </xf>
    <xf numFmtId="0" fontId="1" fillId="0" borderId="0" pivotButton="0" quotePrefix="0" xfId="2"/>
    <xf numFmtId="0" fontId="1" fillId="0" borderId="26" pivotButton="0" quotePrefix="0" xfId="2"/>
    <xf numFmtId="0" fontId="1" fillId="0" borderId="6" pivotButton="0" quotePrefix="0" xfId="2"/>
    <xf numFmtId="0" fontId="58" fillId="20" borderId="3" pivotButton="0" quotePrefix="0" xfId="2"/>
    <xf numFmtId="172" fontId="1" fillId="0" borderId="5" pivotButton="0" quotePrefix="0" xfId="2"/>
    <xf numFmtId="0" fontId="58" fillId="20" borderId="6" pivotButton="0" quotePrefix="0" xfId="2"/>
    <xf numFmtId="172" fontId="1" fillId="0" borderId="8" pivotButton="0" quotePrefix="0" xfId="2"/>
    <xf numFmtId="172" fontId="1" fillId="0" borderId="27" pivotButton="0" quotePrefix="0" xfId="2"/>
    <xf numFmtId="0" fontId="61" fillId="21" borderId="3" pivotButton="0" quotePrefix="0" xfId="2"/>
    <xf numFmtId="0" fontId="61" fillId="21" borderId="5" pivotButton="0" quotePrefix="0" xfId="2"/>
    <xf numFmtId="0" fontId="47" fillId="10" borderId="7" applyAlignment="1" pivotButton="0" quotePrefix="0" xfId="0">
      <alignment horizontal="left" vertical="center"/>
    </xf>
    <xf numFmtId="0" fontId="29" fillId="0" borderId="26" applyAlignment="1" pivotButton="0" quotePrefix="0" xfId="0">
      <alignment vertical="center" wrapText="1"/>
    </xf>
    <xf numFmtId="165" fontId="29" fillId="0" borderId="0" applyAlignment="1" pivotButton="0" quotePrefix="0" xfId="0">
      <alignment vertical="center" wrapText="1"/>
    </xf>
    <xf numFmtId="165" fontId="29" fillId="0" borderId="27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165" fontId="29" fillId="0" borderId="7" applyAlignment="1" pivotButton="0" quotePrefix="0" xfId="0">
      <alignment vertical="center" wrapText="1"/>
    </xf>
    <xf numFmtId="165" fontId="29" fillId="0" borderId="8" applyAlignment="1" pivotButton="0" quotePrefix="0" xfId="0">
      <alignment vertical="center" wrapText="1"/>
    </xf>
    <xf numFmtId="9" fontId="26" fillId="4" borderId="1" applyAlignment="1" pivotButton="0" quotePrefix="0" xfId="1">
      <alignment horizontal="right" vertical="center"/>
    </xf>
    <xf numFmtId="0" fontId="24" fillId="5" borderId="0" applyAlignment="1" pivotButton="0" quotePrefix="0" xfId="0">
      <alignment horizontal="center" vertical="center" wrapText="1"/>
    </xf>
    <xf numFmtId="0" fontId="24" fillId="5" borderId="26" applyAlignment="1" pivotButton="0" quotePrefix="0" xfId="0">
      <alignment horizontal="center" vertical="center" wrapText="1"/>
    </xf>
    <xf numFmtId="0" fontId="24" fillId="5" borderId="27" applyAlignment="1" pivotButton="0" quotePrefix="0" xfId="0">
      <alignment horizontal="center" vertical="center" wrapText="1"/>
    </xf>
    <xf numFmtId="0" fontId="24" fillId="0" borderId="26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 vertical="center" wrapText="1"/>
    </xf>
    <xf numFmtId="165" fontId="34" fillId="0" borderId="27" pivotButton="0" quotePrefix="0" xfId="0"/>
    <xf numFmtId="165" fontId="34" fillId="0" borderId="7" pivotButton="0" quotePrefix="0" xfId="0"/>
    <xf numFmtId="165" fontId="34" fillId="0" borderId="8" pivotButton="0" quotePrefix="0" xfId="0"/>
    <xf numFmtId="164" fontId="27" fillId="10" borderId="0" applyAlignment="1" pivotButton="0" quotePrefix="0" xfId="0">
      <alignment horizontal="right" vertical="center"/>
    </xf>
    <xf numFmtId="0" fontId="27" fillId="10" borderId="0" applyAlignment="1" pivotButton="0" quotePrefix="0" xfId="0">
      <alignment horizontal="left" vertical="center"/>
    </xf>
    <xf numFmtId="0" fontId="47" fillId="10" borderId="0" applyAlignment="1" pivotButton="0" quotePrefix="0" xfId="0">
      <alignment horizontal="left" vertical="center"/>
    </xf>
    <xf numFmtId="168" fontId="27" fillId="4" borderId="0" applyAlignment="1" pivotButton="0" quotePrefix="0" xfId="0">
      <alignment horizontal="right" vertical="center"/>
    </xf>
    <xf numFmtId="165" fontId="27" fillId="10" borderId="0" applyAlignment="1" pivotButton="0" quotePrefix="0" xfId="0">
      <alignment horizontal="right" vertical="center"/>
    </xf>
    <xf numFmtId="164" fontId="27" fillId="9" borderId="0" applyAlignment="1" pivotButton="0" quotePrefix="0" xfId="0">
      <alignment horizontal="right" vertical="center"/>
    </xf>
    <xf numFmtId="165" fontId="27" fillId="9" borderId="0" applyAlignment="1" pivotButton="0" quotePrefix="0" xfId="0">
      <alignment horizontal="right" vertical="center"/>
    </xf>
    <xf numFmtId="0" fontId="24" fillId="10" borderId="26" applyAlignment="1" pivotButton="0" quotePrefix="0" xfId="0">
      <alignment horizontal="left" vertical="center"/>
    </xf>
    <xf numFmtId="0" fontId="47" fillId="6" borderId="27" applyAlignment="1" pivotButton="0" quotePrefix="0" xfId="0">
      <alignment horizontal="left" vertical="center"/>
    </xf>
    <xf numFmtId="165" fontId="27" fillId="10" borderId="7" applyAlignment="1" pivotButton="0" quotePrefix="0" xfId="0">
      <alignment horizontal="right" vertical="center"/>
    </xf>
    <xf numFmtId="0" fontId="27" fillId="10" borderId="7" applyAlignment="1" pivotButton="0" quotePrefix="0" xfId="0">
      <alignment horizontal="left" vertical="center"/>
    </xf>
    <xf numFmtId="0" fontId="47" fillId="6" borderId="8" applyAlignment="1" pivotButton="0" quotePrefix="0" xfId="0">
      <alignment horizontal="left" vertical="center"/>
    </xf>
    <xf numFmtId="165" fontId="27" fillId="22" borderId="12" applyAlignment="1" pivotButton="0" quotePrefix="0" xfId="0">
      <alignment horizontal="right" vertical="center"/>
    </xf>
    <xf numFmtId="164" fontId="27" fillId="22" borderId="1" applyAlignment="1" pivotButton="0" quotePrefix="0" xfId="0">
      <alignment horizontal="right" vertical="center"/>
    </xf>
    <xf numFmtId="0" fontId="23" fillId="3" borderId="0" applyAlignment="1" pivotButton="0" quotePrefix="0" xfId="0">
      <alignment horizontal="center" vertical="center" wrapText="1"/>
    </xf>
    <xf numFmtId="165" fontId="54" fillId="6" borderId="0" applyAlignment="1" pivotButton="0" quotePrefix="0" xfId="0">
      <alignment horizontal="left" vertical="center"/>
    </xf>
    <xf numFmtId="165" fontId="24" fillId="9" borderId="0" applyAlignment="1" pivotButton="0" quotePrefix="0" xfId="0">
      <alignment horizontal="right" vertical="center"/>
    </xf>
    <xf numFmtId="168" fontId="24" fillId="4" borderId="0" applyAlignment="1" pivotButton="0" quotePrefix="0" xfId="0">
      <alignment horizontal="right" vertical="center"/>
    </xf>
    <xf numFmtId="0" fontId="54" fillId="6" borderId="0" applyAlignment="1" pivotButton="0" quotePrefix="0" xfId="0">
      <alignment horizontal="left" vertical="center"/>
    </xf>
    <xf numFmtId="10" fontId="59" fillId="0" borderId="0" pivotButton="0" quotePrefix="0" xfId="1"/>
    <xf numFmtId="166" fontId="54" fillId="6" borderId="0" applyAlignment="1" pivotButton="0" quotePrefix="0" xfId="0">
      <alignment horizontal="left" vertical="center"/>
    </xf>
    <xf numFmtId="2" fontId="24" fillId="9" borderId="0" applyAlignment="1" pivotButton="0" quotePrefix="0" xfId="0">
      <alignment horizontal="right" vertical="center"/>
    </xf>
    <xf numFmtId="2" fontId="54" fillId="6" borderId="0" applyAlignment="1" pivotButton="0" quotePrefix="0" xfId="0">
      <alignment horizontal="left" vertical="center"/>
    </xf>
    <xf numFmtId="168" fontId="27" fillId="10" borderId="0" applyAlignment="1" pivotButton="0" quotePrefix="0" xfId="0">
      <alignment horizontal="right" vertical="center"/>
    </xf>
    <xf numFmtId="0" fontId="23" fillId="3" borderId="26" applyAlignment="1" pivotButton="0" quotePrefix="0" xfId="0">
      <alignment horizontal="center" vertical="center" wrapText="1"/>
    </xf>
    <xf numFmtId="165" fontId="54" fillId="6" borderId="7" applyAlignment="1" pivotButton="0" quotePrefix="0" xfId="0">
      <alignment horizontal="left" vertical="center"/>
    </xf>
    <xf numFmtId="0" fontId="65" fillId="0" borderId="0" pivotButton="0" quotePrefix="0" xfId="3"/>
    <xf numFmtId="0" fontId="7" fillId="6" borderId="0" applyAlignment="1" pivotButton="0" quotePrefix="0" xfId="0">
      <alignment vertical="center"/>
    </xf>
    <xf numFmtId="0" fontId="29" fillId="0" borderId="0" applyAlignment="1" pivotButton="0" quotePrefix="0" xfId="0">
      <alignment wrapText="1"/>
    </xf>
    <xf numFmtId="0" fontId="24" fillId="6" borderId="1" applyAlignment="1" pivotButton="0" quotePrefix="0" xfId="0">
      <alignment horizontal="left" vertical="center" wrapText="1"/>
    </xf>
    <xf numFmtId="165" fontId="27" fillId="10" borderId="1" applyAlignment="1" pivotButton="0" quotePrefix="0" xfId="0">
      <alignment horizontal="right" vertical="center" wrapText="1"/>
    </xf>
    <xf numFmtId="0" fontId="29" fillId="25" borderId="0" pivotButton="0" quotePrefix="0" xfId="0"/>
    <xf numFmtId="0" fontId="23" fillId="3" borderId="9" applyAlignment="1" pivotButton="0" quotePrefix="0" xfId="0">
      <alignment vertical="center"/>
    </xf>
    <xf numFmtId="0" fontId="23" fillId="3" borderId="11" applyAlignment="1" pivotButton="0" quotePrefix="0" xfId="0">
      <alignment vertical="center"/>
    </xf>
    <xf numFmtId="0" fontId="29" fillId="0" borderId="26" applyAlignment="1" pivotButton="0" quotePrefix="0" xfId="0">
      <alignment wrapText="1"/>
    </xf>
    <xf numFmtId="0" fontId="29" fillId="0" borderId="27" applyAlignment="1" pivotButton="0" quotePrefix="0" xfId="0">
      <alignment wrapText="1"/>
    </xf>
    <xf numFmtId="0" fontId="44" fillId="6" borderId="1" applyAlignment="1" pivotButton="0" quotePrefix="0" xfId="0">
      <alignment horizontal="left" vertical="center" wrapText="1"/>
    </xf>
    <xf numFmtId="165" fontId="25" fillId="10" borderId="1" applyAlignment="1" pivotButton="0" quotePrefix="0" xfId="0">
      <alignment horizontal="right" vertical="center"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173" fontId="27" fillId="10" borderId="1" applyAlignment="1" pivotButton="0" quotePrefix="0" xfId="0">
      <alignment horizontal="right" vertical="center" wrapText="1"/>
    </xf>
    <xf numFmtId="172" fontId="66" fillId="26" borderId="0" applyAlignment="1" pivotButton="0" quotePrefix="0" xfId="0">
      <alignment vertical="center"/>
    </xf>
    <xf numFmtId="0" fontId="47" fillId="27" borderId="0" applyAlignment="1" pivotButton="0" quotePrefix="0" xfId="0">
      <alignment vertical="center"/>
    </xf>
    <xf numFmtId="165" fontId="66" fillId="26" borderId="0" applyAlignment="1" pivotButton="0" quotePrefix="0" xfId="0">
      <alignment vertical="center"/>
    </xf>
    <xf numFmtId="0" fontId="71" fillId="27" borderId="0" applyAlignment="1" pivotButton="0" quotePrefix="0" xfId="0">
      <alignment vertical="center"/>
    </xf>
    <xf numFmtId="0" fontId="29" fillId="25" borderId="0" applyAlignment="1" pivotButton="0" quotePrefix="0" xfId="0">
      <alignment wrapText="1"/>
    </xf>
    <xf numFmtId="0" fontId="68" fillId="25" borderId="0" pivotButton="0" quotePrefix="0" xfId="0"/>
    <xf numFmtId="0" fontId="29" fillId="25" borderId="0" applyAlignment="1" pivotButton="0" quotePrefix="0" xfId="0">
      <alignment horizontal="center"/>
    </xf>
    <xf numFmtId="0" fontId="73" fillId="25" borderId="0" pivotButton="0" quotePrefix="0" xfId="0"/>
    <xf numFmtId="0" fontId="29" fillId="25" borderId="0" applyAlignment="1" pivotButton="0" quotePrefix="0" xfId="0">
      <alignment horizontal="left"/>
    </xf>
    <xf numFmtId="0" fontId="19" fillId="15" borderId="0" applyAlignment="1" pivotButton="0" quotePrefix="0" xfId="0">
      <alignment vertical="center"/>
    </xf>
    <xf numFmtId="0" fontId="75" fillId="23" borderId="3" applyAlignment="1" pivotButton="0" quotePrefix="0" xfId="0">
      <alignment horizontal="center"/>
    </xf>
    <xf numFmtId="0" fontId="75" fillId="23" borderId="5" applyAlignment="1" pivotButton="0" quotePrefix="0" xfId="0">
      <alignment horizontal="center"/>
    </xf>
    <xf numFmtId="0" fontId="76" fillId="24" borderId="26" pivotButton="0" quotePrefix="0" xfId="0"/>
    <xf numFmtId="0" fontId="77" fillId="24" borderId="8" applyAlignment="1" pivotButton="0" quotePrefix="0" xfId="3">
      <alignment horizontal="left"/>
    </xf>
    <xf numFmtId="0" fontId="77" fillId="24" borderId="27" applyAlignment="1" pivotButton="0" quotePrefix="0" xfId="3">
      <alignment horizontal="left"/>
    </xf>
    <xf numFmtId="0" fontId="76" fillId="24" borderId="6" pivotButton="0" quotePrefix="0" xfId="0"/>
    <xf numFmtId="0" fontId="72" fillId="0" borderId="0" applyAlignment="1" pivotButton="0" quotePrefix="0" xfId="3">
      <alignment horizontal="center"/>
    </xf>
    <xf numFmtId="0" fontId="19" fillId="3" borderId="23" applyAlignment="1" pivotButton="0" quotePrefix="0" xfId="0">
      <alignment horizontal="center" vertical="center"/>
    </xf>
    <xf numFmtId="0" fontId="19" fillId="3" borderId="24" applyAlignment="1" pivotButton="0" quotePrefix="0" xfId="0">
      <alignment horizontal="center" vertical="center"/>
    </xf>
    <xf numFmtId="0" fontId="19" fillId="3" borderId="25" applyAlignment="1" pivotButton="0" quotePrefix="0" xfId="0">
      <alignment horizontal="center" vertical="center"/>
    </xf>
    <xf numFmtId="0" fontId="29" fillId="25" borderId="0" applyAlignment="1" pivotButton="0" quotePrefix="0" xfId="0">
      <alignment horizontal="center"/>
    </xf>
    <xf numFmtId="0" fontId="23" fillId="3" borderId="1" applyAlignment="1" pivotButton="0" quotePrefix="0" xfId="0">
      <alignment horizontal="center" vertical="center" wrapText="1"/>
    </xf>
    <xf numFmtId="0" fontId="20" fillId="2" borderId="41" applyAlignment="1" pivotButton="0" quotePrefix="0" xfId="0">
      <alignment horizontal="center" vertical="center"/>
    </xf>
    <xf numFmtId="0" fontId="20" fillId="2" borderId="40" applyAlignment="1" pivotButton="0" quotePrefix="0" xfId="0">
      <alignment horizontal="center" vertical="center"/>
    </xf>
    <xf numFmtId="49" fontId="69" fillId="5" borderId="47" applyAlignment="1" pivotButton="0" quotePrefix="0" xfId="0">
      <alignment horizontal="center" vertical="center"/>
    </xf>
    <xf numFmtId="49" fontId="69" fillId="5" borderId="48" applyAlignment="1" pivotButton="0" quotePrefix="0" xfId="0">
      <alignment horizontal="center" vertical="center"/>
    </xf>
    <xf numFmtId="174" fontId="69" fillId="5" borderId="49" applyAlignment="1" pivotButton="0" quotePrefix="0" xfId="0">
      <alignment horizontal="center" vertical="center"/>
    </xf>
    <xf numFmtId="174" fontId="69" fillId="5" borderId="0" applyAlignment="1" pivotButton="0" quotePrefix="0" xfId="0">
      <alignment horizontal="center" vertical="center"/>
    </xf>
    <xf numFmtId="175" fontId="69" fillId="5" borderId="47" applyAlignment="1" pivotButton="0" quotePrefix="0" xfId="0">
      <alignment horizontal="center" vertical="center"/>
    </xf>
    <xf numFmtId="175" fontId="69" fillId="5" borderId="48" applyAlignment="1" pivotButton="0" quotePrefix="0" xfId="0">
      <alignment horizontal="center" vertical="center"/>
    </xf>
    <xf numFmtId="165" fontId="69" fillId="5" borderId="34" applyAlignment="1" pivotButton="0" quotePrefix="0" xfId="0">
      <alignment horizontal="center" vertical="center"/>
    </xf>
    <xf numFmtId="165" fontId="69" fillId="5" borderId="0" applyAlignment="1" pivotButton="0" quotePrefix="0" xfId="0">
      <alignment horizontal="center" vertical="center"/>
    </xf>
    <xf numFmtId="0" fontId="20" fillId="28" borderId="34" applyAlignment="1" pivotButton="0" quotePrefix="0" xfId="0">
      <alignment horizontal="center" vertical="center"/>
    </xf>
    <xf numFmtId="0" fontId="20" fillId="28" borderId="0" applyAlignment="1" pivotButton="0" quotePrefix="0" xfId="0">
      <alignment horizontal="center" vertical="center"/>
    </xf>
    <xf numFmtId="0" fontId="47" fillId="6" borderId="0" applyAlignment="1" pivotButton="0" quotePrefix="0" xfId="0">
      <alignment horizontal="center" vertical="center"/>
    </xf>
    <xf numFmtId="0" fontId="70" fillId="4" borderId="0" applyAlignment="1" pivotButton="0" quotePrefix="0" xfId="0">
      <alignment horizontal="center" vertical="center"/>
    </xf>
    <xf numFmtId="0" fontId="67" fillId="28" borderId="0" applyAlignment="1" pivotButton="0" quotePrefix="0" xfId="0">
      <alignment horizontal="center" vertical="center"/>
    </xf>
    <xf numFmtId="0" fontId="46" fillId="28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49" fontId="74" fillId="10" borderId="0" applyAlignment="1" pivotButton="0" quotePrefix="0" xfId="0">
      <alignment horizontal="center" vertical="center"/>
    </xf>
    <xf numFmtId="165" fontId="74" fillId="10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47" fillId="6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center" vertical="center"/>
    </xf>
    <xf numFmtId="0" fontId="19" fillId="13" borderId="0" applyAlignment="1" pivotButton="0" quotePrefix="0" xfId="0">
      <alignment horizontal="center" vertical="center"/>
    </xf>
    <xf numFmtId="172" fontId="74" fillId="10" borderId="0" applyAlignment="1" pivotButton="0" quotePrefix="0" xfId="0">
      <alignment horizontal="center" vertical="center"/>
    </xf>
    <xf numFmtId="0" fontId="19" fillId="3" borderId="9" applyAlignment="1" pivotButton="0" quotePrefix="0" xfId="0">
      <alignment horizontal="center" vertical="center"/>
    </xf>
    <xf numFmtId="0" fontId="19" fillId="3" borderId="10" applyAlignment="1" pivotButton="0" quotePrefix="0" xfId="0">
      <alignment horizontal="center" vertical="center"/>
    </xf>
    <xf numFmtId="0" fontId="19" fillId="3" borderId="11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17" fillId="2" borderId="4" applyAlignment="1" pivotButton="0" quotePrefix="0" xfId="0">
      <alignment horizontal="center" vertical="center"/>
    </xf>
    <xf numFmtId="0" fontId="17" fillId="2" borderId="5" applyAlignment="1" pivotButton="0" quotePrefix="0" xfId="0">
      <alignment horizontal="center" vertical="center"/>
    </xf>
    <xf numFmtId="0" fontId="40" fillId="3" borderId="6" applyAlignment="1" pivotButton="0" quotePrefix="0" xfId="0">
      <alignment horizontal="center" vertical="center"/>
    </xf>
    <xf numFmtId="0" fontId="40" fillId="3" borderId="7" applyAlignment="1" pivotButton="0" quotePrefix="0" xfId="0">
      <alignment horizontal="center" vertical="center"/>
    </xf>
    <xf numFmtId="0" fontId="40" fillId="3" borderId="8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center" wrapText="1"/>
    </xf>
    <xf numFmtId="0" fontId="16" fillId="3" borderId="9" applyAlignment="1" pivotButton="0" quotePrefix="0" xfId="0">
      <alignment horizontal="left" vertical="center"/>
    </xf>
    <xf numFmtId="0" fontId="16" fillId="3" borderId="10" applyAlignment="1" pivotButton="0" quotePrefix="0" xfId="0">
      <alignment horizontal="left" vertical="center"/>
    </xf>
    <xf numFmtId="0" fontId="16" fillId="3" borderId="11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37" fillId="6" borderId="0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1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 wrapText="1"/>
    </xf>
    <xf numFmtId="0" fontId="14" fillId="8" borderId="5" applyAlignment="1" pivotButton="0" quotePrefix="0" xfId="0">
      <alignment horizontal="center" vertical="center" wrapText="1"/>
    </xf>
    <xf numFmtId="0" fontId="31" fillId="6" borderId="6" applyAlignment="1" pivotButton="0" quotePrefix="0" xfId="0">
      <alignment horizontal="center" vertical="center"/>
    </xf>
    <xf numFmtId="0" fontId="31" fillId="6" borderId="7" applyAlignment="1" pivotButton="0" quotePrefix="0" xfId="0">
      <alignment horizontal="center" vertical="center"/>
    </xf>
    <xf numFmtId="0" fontId="31" fillId="6" borderId="8" applyAlignment="1" pivotButton="0" quotePrefix="0" xfId="0">
      <alignment horizontal="center" vertical="center"/>
    </xf>
    <xf numFmtId="0" fontId="16" fillId="3" borderId="3" applyAlignment="1" pivotButton="0" quotePrefix="0" xfId="0">
      <alignment horizontal="left" vertical="center"/>
    </xf>
    <xf numFmtId="0" fontId="16" fillId="3" borderId="4" applyAlignment="1" pivotButton="0" quotePrefix="0" xfId="0">
      <alignment horizontal="left" vertical="center"/>
    </xf>
    <xf numFmtId="0" fontId="16" fillId="3" borderId="5" applyAlignment="1" pivotButton="0" quotePrefix="0" xfId="0">
      <alignment horizontal="left" vertical="center"/>
    </xf>
    <xf numFmtId="0" fontId="16" fillId="3" borderId="23" applyAlignment="1" pivotButton="0" quotePrefix="0" xfId="0">
      <alignment horizontal="center" vertical="center" wrapText="1"/>
    </xf>
    <xf numFmtId="0" fontId="16" fillId="3" borderId="24" applyAlignment="1" pivotButton="0" quotePrefix="0" xfId="0">
      <alignment horizontal="center" vertical="center" wrapText="1"/>
    </xf>
    <xf numFmtId="0" fontId="16" fillId="3" borderId="25" applyAlignment="1" pivotButton="0" quotePrefix="0" xfId="0">
      <alignment horizontal="center" vertical="center" wrapText="1"/>
    </xf>
    <xf numFmtId="0" fontId="41" fillId="6" borderId="6" applyAlignment="1" pivotButton="0" quotePrefix="0" xfId="0">
      <alignment horizontal="center" vertical="center"/>
    </xf>
    <xf numFmtId="0" fontId="41" fillId="6" borderId="7" applyAlignment="1" pivotButton="0" quotePrefix="0" xfId="0">
      <alignment horizontal="center" vertical="center"/>
    </xf>
    <xf numFmtId="0" fontId="41" fillId="6" borderId="8" applyAlignment="1" pivotButton="0" quotePrefix="0" xfId="0">
      <alignment horizontal="center" vertical="center"/>
    </xf>
    <xf numFmtId="0" fontId="16" fillId="3" borderId="23" applyAlignment="1" pivotButton="0" quotePrefix="0" xfId="0">
      <alignment horizontal="left" vertical="center"/>
    </xf>
    <xf numFmtId="0" fontId="16" fillId="3" borderId="24" applyAlignment="1" pivotButton="0" quotePrefix="0" xfId="0">
      <alignment horizontal="left" vertical="center"/>
    </xf>
    <xf numFmtId="0" fontId="16" fillId="3" borderId="28" applyAlignment="1" pivotButton="0" quotePrefix="0" xfId="0">
      <alignment horizontal="left" vertical="center"/>
    </xf>
    <xf numFmtId="0" fontId="16" fillId="3" borderId="25" applyAlignment="1" pivotButton="0" quotePrefix="0" xfId="0">
      <alignment horizontal="left" vertical="center"/>
    </xf>
    <xf numFmtId="0" fontId="20" fillId="2" borderId="3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37" fillId="6" borderId="6" applyAlignment="1" pivotButton="0" quotePrefix="0" xfId="0">
      <alignment horizontal="center" vertical="center"/>
    </xf>
    <xf numFmtId="0" fontId="37" fillId="6" borderId="7" applyAlignment="1" pivotButton="0" quotePrefix="0" xfId="0">
      <alignment horizontal="center" vertical="center"/>
    </xf>
    <xf numFmtId="0" fontId="37" fillId="6" borderId="8" applyAlignment="1" pivotButton="0" quotePrefix="0" xfId="0">
      <alignment horizontal="center" vertical="center"/>
    </xf>
    <xf numFmtId="0" fontId="19" fillId="3" borderId="23" applyAlignment="1" pivotButton="0" quotePrefix="0" xfId="0">
      <alignment horizontal="left" vertical="center"/>
    </xf>
    <xf numFmtId="0" fontId="19" fillId="3" borderId="24" applyAlignment="1" pivotButton="0" quotePrefix="0" xfId="0">
      <alignment horizontal="left" vertical="center"/>
    </xf>
    <xf numFmtId="0" fontId="19" fillId="3" borderId="25" applyAlignment="1" pivotButton="0" quotePrefix="0" xfId="0">
      <alignment horizontal="left" vertical="center"/>
    </xf>
    <xf numFmtId="0" fontId="27" fillId="0" borderId="34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27" applyAlignment="1" pivotButton="0" quotePrefix="0" xfId="0">
      <alignment vertical="center"/>
    </xf>
    <xf numFmtId="0" fontId="25" fillId="0" borderId="34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5" fillId="0" borderId="27" applyAlignment="1" pivotButton="0" quotePrefix="0" xfId="0">
      <alignment vertical="center"/>
    </xf>
    <xf numFmtId="0" fontId="19" fillId="3" borderId="3" applyAlignment="1" pivotButton="0" quotePrefix="0" xfId="0">
      <alignment horizontal="left" vertical="center"/>
    </xf>
    <xf numFmtId="0" fontId="19" fillId="3" borderId="4" applyAlignment="1" pivotButton="0" quotePrefix="0" xfId="0">
      <alignment horizontal="left" vertical="center"/>
    </xf>
    <xf numFmtId="0" fontId="19" fillId="3" borderId="5" applyAlignment="1" pivotButton="0" quotePrefix="0" xfId="0">
      <alignment horizontal="left" vertical="center"/>
    </xf>
    <xf numFmtId="0" fontId="25" fillId="0" borderId="35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44" fillId="5" borderId="34" applyAlignment="1" pivotButton="0" quotePrefix="0" xfId="0">
      <alignment vertical="center" wrapText="1"/>
    </xf>
    <xf numFmtId="0" fontId="44" fillId="5" borderId="0" applyAlignment="1" pivotButton="0" quotePrefix="0" xfId="0">
      <alignment vertical="center" wrapText="1"/>
    </xf>
    <xf numFmtId="0" fontId="44" fillId="5" borderId="27" applyAlignment="1" pivotButton="0" quotePrefix="0" xfId="0">
      <alignment vertical="center" wrapText="1"/>
    </xf>
    <xf numFmtId="0" fontId="62" fillId="2" borderId="3" applyAlignment="1" pivotButton="0" quotePrefix="0" xfId="0">
      <alignment horizontal="left" vertical="center"/>
    </xf>
    <xf numFmtId="0" fontId="19" fillId="2" borderId="4" applyAlignment="1" pivotButton="0" quotePrefix="0" xfId="0">
      <alignment horizontal="left" vertical="center"/>
    </xf>
    <xf numFmtId="0" fontId="19" fillId="2" borderId="5" applyAlignment="1" pivotButton="0" quotePrefix="0" xfId="0">
      <alignment horizontal="left" vertical="center"/>
    </xf>
    <xf numFmtId="0" fontId="19" fillId="2" borderId="23" applyAlignment="1" pivotButton="0" quotePrefix="0" xfId="0">
      <alignment horizontal="left" vertical="center"/>
    </xf>
    <xf numFmtId="0" fontId="19" fillId="2" borderId="24" applyAlignment="1" pivotButton="0" quotePrefix="0" xfId="0">
      <alignment horizontal="left" vertical="center"/>
    </xf>
    <xf numFmtId="0" fontId="19" fillId="2" borderId="25" applyAlignment="1" pivotButton="0" quotePrefix="0" xfId="0">
      <alignment horizontal="left" vertical="center"/>
    </xf>
    <xf numFmtId="0" fontId="19" fillId="2" borderId="3" applyAlignment="1" pivotButton="0" quotePrefix="0" xfId="0">
      <alignment horizontal="left" vertical="center"/>
    </xf>
    <xf numFmtId="0" fontId="46" fillId="2" borderId="3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19" fillId="2" borderId="9" applyAlignment="1" pivotButton="0" quotePrefix="0" xfId="0">
      <alignment horizontal="left" vertical="center"/>
    </xf>
    <xf numFmtId="0" fontId="19" fillId="2" borderId="10" applyAlignment="1" pivotButton="0" quotePrefix="0" xfId="0">
      <alignment horizontal="left" vertical="center"/>
    </xf>
    <xf numFmtId="0" fontId="19" fillId="2" borderId="11" applyAlignment="1" pivotButton="0" quotePrefix="0" xfId="0">
      <alignment horizontal="left" vertical="center"/>
    </xf>
    <xf numFmtId="0" fontId="23" fillId="3" borderId="12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/>
    </xf>
    <xf numFmtId="0" fontId="23" fillId="3" borderId="13" applyAlignment="1" pivotButton="0" quotePrefix="0" xfId="0">
      <alignment horizontal="left" vertical="center"/>
    </xf>
    <xf numFmtId="0" fontId="50" fillId="0" borderId="36" pivotButton="0" quotePrefix="0" xfId="0"/>
    <xf numFmtId="0" fontId="19" fillId="8" borderId="23" applyAlignment="1" pivotButton="0" quotePrefix="0" xfId="0">
      <alignment horizontal="left" vertical="center"/>
    </xf>
    <xf numFmtId="0" fontId="19" fillId="8" borderId="25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47" fillId="6" borderId="20" applyAlignment="1" pivotButton="0" quotePrefix="0" xfId="0">
      <alignment horizontal="center" vertical="center"/>
    </xf>
    <xf numFmtId="0" fontId="47" fillId="6" borderId="21" applyAlignment="1" pivotButton="0" quotePrefix="0" xfId="0">
      <alignment horizontal="center" vertical="center"/>
    </xf>
    <xf numFmtId="0" fontId="47" fillId="6" borderId="22" applyAlignment="1" pivotButton="0" quotePrefix="0" xfId="0">
      <alignment horizontal="center" vertical="center"/>
    </xf>
    <xf numFmtId="0" fontId="19" fillId="3" borderId="38" applyAlignment="1" pivotButton="0" quotePrefix="0" xfId="0">
      <alignment horizontal="left" vertical="center"/>
    </xf>
    <xf numFmtId="0" fontId="19" fillId="3" borderId="37" applyAlignment="1" pivotButton="0" quotePrefix="0" xfId="0">
      <alignment horizontal="left" vertical="center"/>
    </xf>
    <xf numFmtId="0" fontId="19" fillId="3" borderId="39" applyAlignment="1" pivotButton="0" quotePrefix="0" xfId="0">
      <alignment horizontal="left" vertical="center"/>
    </xf>
    <xf numFmtId="0" fontId="23" fillId="3" borderId="9" applyAlignment="1" pivotButton="0" quotePrefix="0" xfId="0">
      <alignment horizontal="left" vertical="center"/>
    </xf>
    <xf numFmtId="0" fontId="23" fillId="3" borderId="10" applyAlignment="1" pivotButton="0" quotePrefix="0" xfId="0">
      <alignment horizontal="left" vertical="center"/>
    </xf>
    <xf numFmtId="0" fontId="23" fillId="3" borderId="11" applyAlignment="1" pivotButton="0" quotePrefix="0" xfId="0">
      <alignment horizontal="left" vertical="center"/>
    </xf>
    <xf numFmtId="0" fontId="49" fillId="10" borderId="1" pivotButton="0" quotePrefix="0" xfId="0"/>
    <xf numFmtId="0" fontId="47" fillId="6" borderId="6" applyAlignment="1" pivotButton="0" quotePrefix="0" xfId="0">
      <alignment horizontal="center" vertical="center"/>
    </xf>
    <xf numFmtId="0" fontId="47" fillId="6" borderId="7" applyAlignment="1" pivotButton="0" quotePrefix="0" xfId="0">
      <alignment horizontal="center" vertical="center"/>
    </xf>
    <xf numFmtId="0" fontId="47" fillId="6" borderId="8" applyAlignment="1" pivotButton="0" quotePrefix="0" xfId="0">
      <alignment horizontal="center" vertical="center"/>
    </xf>
    <xf numFmtId="0" fontId="19" fillId="3" borderId="9" applyAlignment="1" pivotButton="0" quotePrefix="0" xfId="0">
      <alignment horizontal="left" vertical="center"/>
    </xf>
    <xf numFmtId="0" fontId="19" fillId="3" borderId="10" applyAlignment="1" pivotButton="0" quotePrefix="0" xfId="0">
      <alignment horizontal="left" vertical="center"/>
    </xf>
    <xf numFmtId="0" fontId="19" fillId="3" borderId="11" applyAlignment="1" pivotButton="0" quotePrefix="0" xfId="0">
      <alignment horizontal="left" vertical="center"/>
    </xf>
    <xf numFmtId="0" fontId="19" fillId="3" borderId="12" applyAlignment="1" pivotButton="0" quotePrefix="0" xfId="0">
      <alignment horizontal="left" vertical="center"/>
    </xf>
    <xf numFmtId="0" fontId="19" fillId="3" borderId="1" applyAlignment="1" pivotButton="0" quotePrefix="0" xfId="0">
      <alignment horizontal="left" vertical="center"/>
    </xf>
    <xf numFmtId="0" fontId="19" fillId="3" borderId="13" applyAlignment="1" pivotButton="0" quotePrefix="0" xfId="0">
      <alignment horizontal="left" vertical="center"/>
    </xf>
    <xf numFmtId="0" fontId="23" fillId="3" borderId="0" applyAlignment="1" pivotButton="0" quotePrefix="0" xfId="0">
      <alignment horizontal="center" vertical="center" wrapText="1"/>
    </xf>
    <xf numFmtId="0" fontId="23" fillId="3" borderId="27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center"/>
    </xf>
    <xf numFmtId="0" fontId="47" fillId="10" borderId="27" applyAlignment="1" pivotButton="0" quotePrefix="0" xfId="0">
      <alignment horizontal="left" vertical="center"/>
    </xf>
    <xf numFmtId="0" fontId="47" fillId="10" borderId="7" applyAlignment="1" pivotButton="0" quotePrefix="0" xfId="0">
      <alignment horizontal="left" vertical="center"/>
    </xf>
    <xf numFmtId="0" fontId="47" fillId="10" borderId="8" applyAlignment="1" pivotButton="0" quotePrefix="0" xfId="0">
      <alignment horizontal="left" vertical="center"/>
    </xf>
    <xf numFmtId="0" fontId="60" fillId="20" borderId="46" applyAlignment="1" pivotButton="0" quotePrefix="0" xfId="2">
      <alignment horizontal="center"/>
    </xf>
    <xf numFmtId="0" fontId="60" fillId="20" borderId="0" applyAlignment="1" pivotButton="0" quotePrefix="0" xfId="2">
      <alignment horizontal="center"/>
    </xf>
    <xf numFmtId="0" fontId="19" fillId="13" borderId="9" applyAlignment="1" pivotButton="0" quotePrefix="0" xfId="0">
      <alignment horizontal="left" vertical="center"/>
    </xf>
    <xf numFmtId="0" fontId="19" fillId="13" borderId="10" applyAlignment="1" pivotButton="0" quotePrefix="0" xfId="0">
      <alignment horizontal="left" vertical="center"/>
    </xf>
    <xf numFmtId="0" fontId="19" fillId="13" borderId="11" applyAlignment="1" pivotButton="0" quotePrefix="0" xfId="0">
      <alignment horizontal="left" vertical="center"/>
    </xf>
    <xf numFmtId="0" fontId="27" fillId="10" borderId="41" applyAlignment="1" pivotButton="0" quotePrefix="0" xfId="0">
      <alignment horizontal="right" vertical="center"/>
    </xf>
    <xf numFmtId="0" fontId="27" fillId="10" borderId="42" applyAlignment="1" pivotButton="0" quotePrefix="0" xfId="0">
      <alignment horizontal="right" vertical="center"/>
    </xf>
    <xf numFmtId="0" fontId="27" fillId="10" borderId="34" applyAlignment="1" pivotButton="0" quotePrefix="0" xfId="0">
      <alignment horizontal="right" vertical="center"/>
    </xf>
    <xf numFmtId="0" fontId="27" fillId="10" borderId="43" applyAlignment="1" pivotButton="0" quotePrefix="0" xfId="0">
      <alignment horizontal="right" vertical="center"/>
    </xf>
    <xf numFmtId="0" fontId="24" fillId="9" borderId="35" applyAlignment="1" pivotButton="0" quotePrefix="0" xfId="0">
      <alignment horizontal="right" vertical="center"/>
    </xf>
    <xf numFmtId="0" fontId="24" fillId="9" borderId="44" applyAlignment="1" pivotButton="0" quotePrefix="0" xfId="0">
      <alignment horizontal="right" vertical="center"/>
    </xf>
    <xf numFmtId="0" fontId="47" fillId="10" borderId="2" applyAlignment="1" pivotButton="0" quotePrefix="0" xfId="0">
      <alignment horizontal="left" vertical="center"/>
    </xf>
    <xf numFmtId="0" fontId="47" fillId="10" borderId="39" applyAlignment="1" pivotButton="0" quotePrefix="0" xfId="0">
      <alignment horizontal="left" vertical="center"/>
    </xf>
    <xf numFmtId="0" fontId="47" fillId="10" borderId="19" applyAlignment="1" pivotButton="0" quotePrefix="0" xfId="0">
      <alignment horizontal="left" vertical="center"/>
    </xf>
    <xf numFmtId="0" fontId="47" fillId="10" borderId="45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5" fillId="16" borderId="2" applyAlignment="1" pivotButton="0" quotePrefix="0" xfId="0">
      <alignment horizontal="left" vertical="center"/>
    </xf>
    <xf numFmtId="0" fontId="5" fillId="15" borderId="2" applyAlignment="1" pivotButton="0" quotePrefix="0" xfId="0">
      <alignment horizontal="left" vertical="center"/>
    </xf>
    <xf numFmtId="49" fontId="10" fillId="10" borderId="2" applyAlignment="1" pivotButton="0" quotePrefix="0" xfId="0">
      <alignment horizontal="right" vertical="center"/>
    </xf>
    <xf numFmtId="165" fontId="10" fillId="10" borderId="2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168" fontId="10" fillId="10" borderId="2" applyAlignment="1" pivotButton="0" quotePrefix="0" xfId="0">
      <alignment horizontal="right" vertical="center"/>
    </xf>
    <xf numFmtId="164" fontId="10" fillId="10" borderId="2" applyAlignment="1" pivotButton="0" quotePrefix="0" xfId="0">
      <alignment horizontal="right" vertical="center"/>
    </xf>
    <xf numFmtId="169" fontId="10" fillId="10" borderId="2" applyAlignment="1" pivotButton="0" quotePrefix="0" xfId="0">
      <alignment horizontal="right" vertical="center"/>
    </xf>
    <xf numFmtId="0" fontId="6" fillId="13" borderId="1" applyAlignment="1" pivotButton="0" quotePrefix="0" xfId="0">
      <alignment horizontal="left" vertical="center"/>
    </xf>
    <xf numFmtId="0" fontId="11" fillId="13" borderId="0" applyAlignment="1" pivotButton="0" quotePrefix="0" xfId="0">
      <alignment horizontal="center" vertical="center"/>
    </xf>
    <xf numFmtId="0" fontId="10" fillId="10" borderId="2" applyAlignment="1" pivotButton="0" quotePrefix="0" xfId="0">
      <alignment horizontal="right" vertical="center"/>
    </xf>
    <xf numFmtId="167" fontId="10" fillId="10" borderId="2" applyAlignment="1" pivotButton="0" quotePrefix="0" xfId="0">
      <alignment horizontal="right" vertical="center"/>
    </xf>
    <xf numFmtId="0" fontId="0" fillId="0" borderId="40" pivotButton="0" quotePrefix="0" xfId="0"/>
    <xf numFmtId="0" fontId="0" fillId="0" borderId="37" pivotButton="0" quotePrefix="0" xfId="0"/>
    <xf numFmtId="0" fontId="0" fillId="0" borderId="50" pivotButton="0" quotePrefix="0" xfId="0"/>
    <xf numFmtId="0" fontId="0" fillId="0" borderId="48" pivotButton="0" quotePrefix="0" xfId="0"/>
    <xf numFmtId="174" fontId="69" fillId="5" borderId="49" applyAlignment="1" pivotButton="0" quotePrefix="0" xfId="0">
      <alignment horizontal="center" vertical="center"/>
    </xf>
    <xf numFmtId="175" fontId="69" fillId="5" borderId="47" applyAlignment="1" pivotButton="0" quotePrefix="0" xfId="0">
      <alignment horizontal="center" vertical="center"/>
    </xf>
    <xf numFmtId="172" fontId="74" fillId="10" borderId="0" applyAlignment="1" pivotButton="0" quotePrefix="0" xfId="0">
      <alignment horizontal="center" vertical="center"/>
    </xf>
    <xf numFmtId="172" fontId="66" fillId="26" borderId="0" applyAlignment="1" pivotButton="0" quotePrefix="0" xfId="0">
      <alignment vertical="center"/>
    </xf>
    <xf numFmtId="173" fontId="27" fillId="10" borderId="1" applyAlignment="1" pivotButton="0" quotePrefix="0" xfId="0">
      <alignment horizontal="right" vertical="center" wrapText="1"/>
    </xf>
    <xf numFmtId="0" fontId="19" fillId="3" borderId="5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2" borderId="5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0" fillId="3" borderId="5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" borderId="53" applyAlignment="1" pivotButton="0" quotePrefix="0" xfId="0">
      <alignment horizontal="center" vertical="center" wrapText="1"/>
    </xf>
    <xf numFmtId="0" fontId="0" fillId="0" borderId="28" pivotButton="0" quotePrefix="0" xfId="0"/>
    <xf numFmtId="0" fontId="31" fillId="6" borderId="54" applyAlignment="1" pivotButton="0" quotePrefix="0" xfId="0">
      <alignment horizontal="center" vertical="center"/>
    </xf>
    <xf numFmtId="0" fontId="16" fillId="3" borderId="51" applyAlignment="1" pivotButton="0" quotePrefix="0" xfId="0">
      <alignment horizontal="center" vertical="center" wrapText="1"/>
    </xf>
    <xf numFmtId="0" fontId="16" fillId="3" borderId="53" applyAlignment="1" pivotButton="0" quotePrefix="0" xfId="0">
      <alignment horizontal="left" vertical="center"/>
    </xf>
    <xf numFmtId="0" fontId="14" fillId="8" borderId="53" applyAlignment="1" pivotButton="0" quotePrefix="0" xfId="0">
      <alignment horizontal="center" vertical="center" wrapText="1"/>
    </xf>
    <xf numFmtId="0" fontId="41" fillId="6" borderId="54" applyAlignment="1" pivotButton="0" quotePrefix="0" xfId="0">
      <alignment horizontal="center" vertical="center"/>
    </xf>
    <xf numFmtId="0" fontId="16" fillId="3" borderId="51" applyAlignment="1" pivotButton="0" quotePrefix="0" xfId="0">
      <alignment horizontal="left" vertical="center"/>
    </xf>
    <xf numFmtId="0" fontId="20" fillId="2" borderId="53" applyAlignment="1" pivotButton="0" quotePrefix="0" xfId="0">
      <alignment horizontal="center" vertical="center"/>
    </xf>
    <xf numFmtId="0" fontId="37" fillId="6" borderId="54" applyAlignment="1" pivotButton="0" quotePrefix="0" xfId="0">
      <alignment horizontal="center" vertical="center"/>
    </xf>
    <xf numFmtId="0" fontId="19" fillId="3" borderId="51" applyAlignment="1" pivotButton="0" quotePrefix="0" xfId="0">
      <alignment horizontal="left" vertical="center"/>
    </xf>
    <xf numFmtId="0" fontId="19" fillId="3" borderId="53" applyAlignment="1" pivotButton="0" quotePrefix="0" xfId="0">
      <alignment horizontal="left" vertical="center"/>
    </xf>
    <xf numFmtId="0" fontId="44" fillId="5" borderId="55" applyAlignment="1" pivotButton="0" quotePrefix="0" xfId="0">
      <alignment vertical="center" wrapText="1"/>
    </xf>
    <xf numFmtId="0" fontId="0" fillId="0" borderId="27" pivotButton="0" quotePrefix="0" xfId="0"/>
    <xf numFmtId="0" fontId="27" fillId="0" borderId="55" applyAlignment="1" pivotButton="0" quotePrefix="0" xfId="0">
      <alignment vertical="center"/>
    </xf>
    <xf numFmtId="0" fontId="25" fillId="0" borderId="55" applyAlignment="1" pivotButton="0" quotePrefix="0" xfId="0">
      <alignment vertical="center"/>
    </xf>
    <xf numFmtId="0" fontId="25" fillId="0" borderId="56" applyAlignment="1" pivotButton="0" quotePrefix="0" xfId="0">
      <alignment horizontal="center" vertical="center"/>
    </xf>
    <xf numFmtId="0" fontId="46" fillId="2" borderId="53" applyAlignment="1" pivotButton="0" quotePrefix="0" xfId="0">
      <alignment horizontal="center" vertical="center"/>
    </xf>
    <xf numFmtId="0" fontId="19" fillId="2" borderId="51" applyAlignment="1" pivotButton="0" quotePrefix="0" xfId="0">
      <alignment horizontal="left" vertical="center"/>
    </xf>
    <xf numFmtId="0" fontId="19" fillId="8" borderId="51" applyAlignment="1" pivotButton="0" quotePrefix="0" xfId="0">
      <alignment horizontal="left" vertical="center"/>
    </xf>
    <xf numFmtId="0" fontId="0" fillId="0" borderId="57" pivotButton="0" quotePrefix="0" xfId="0"/>
    <xf numFmtId="0" fontId="19" fillId="2" borderId="53" applyAlignment="1" pivotButton="0" quotePrefix="0" xfId="0">
      <alignment horizontal="left" vertical="center"/>
    </xf>
    <xf numFmtId="0" fontId="62" fillId="2" borderId="53" applyAlignment="1" pivotButton="0" quotePrefix="0" xfId="0">
      <alignment horizontal="left" vertical="center"/>
    </xf>
    <xf numFmtId="0" fontId="47" fillId="6" borderId="58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9" fillId="3" borderId="59" applyAlignment="1" pivotButton="0" quotePrefix="0" xfId="0">
      <alignment horizontal="left" vertical="center"/>
    </xf>
    <xf numFmtId="0" fontId="0" fillId="0" borderId="39" pivotButton="0" quotePrefix="0" xfId="0"/>
    <xf numFmtId="0" fontId="47" fillId="6" borderId="54" applyAlignment="1" pivotButton="0" quotePrefix="0" xfId="0">
      <alignment horizontal="center" vertical="center"/>
    </xf>
    <xf numFmtId="0" fontId="61" fillId="21" borderId="0" pivotButton="0" quotePrefix="0" xfId="0"/>
    <xf numFmtId="172" fontId="1" fillId="0" borderId="27" pivotButton="0" quotePrefix="0" xfId="2"/>
    <xf numFmtId="0" fontId="1" fillId="0" borderId="0" applyAlignment="1" pivotButton="0" quotePrefix="0" xfId="0">
      <alignment vertical="top" wrapText="1"/>
    </xf>
    <xf numFmtId="0" fontId="1" fillId="0" borderId="27" pivotButton="0" quotePrefix="0" xfId="2"/>
    <xf numFmtId="0" fontId="1" fillId="0" borderId="0" pivotButton="0" quotePrefix="0" xfId="0"/>
    <xf numFmtId="0" fontId="58" fillId="20" borderId="26" pivotButton="0" quotePrefix="0" xfId="2"/>
    <xf numFmtId="172" fontId="1" fillId="0" borderId="8" pivotButton="0" quotePrefix="0" xfId="2"/>
    <xf numFmtId="2" fontId="1" fillId="0" borderId="0" pivotButton="0" quotePrefix="0" xfId="0"/>
    <xf numFmtId="0" fontId="1" fillId="0" borderId="3" pivotButton="0" quotePrefix="0" xfId="2"/>
    <xf numFmtId="172" fontId="1" fillId="0" borderId="5" pivotButton="0" quotePrefix="0" xfId="2"/>
    <xf numFmtId="172" fontId="1" fillId="20" borderId="8" pivotButton="0" quotePrefix="0" xfId="2"/>
    <xf numFmtId="0" fontId="58" fillId="20" borderId="0" pivotButton="0" quotePrefix="0" xfId="0"/>
    <xf numFmtId="172" fontId="1" fillId="0" borderId="0" pivotButton="0" quotePrefix="0" xfId="0"/>
    <xf numFmtId="172" fontId="1" fillId="20" borderId="0" pivotButton="0" quotePrefix="0" xfId="0"/>
    <xf numFmtId="0" fontId="27" fillId="10" borderId="17" applyAlignment="1" pivotButton="0" quotePrefix="0" xfId="0">
      <alignment horizontal="right" vertical="center"/>
    </xf>
    <xf numFmtId="0" fontId="0" fillId="0" borderId="42" pivotButton="0" quotePrefix="0" xfId="0"/>
    <xf numFmtId="0" fontId="27" fillId="10" borderId="18" applyAlignment="1" pivotButton="0" quotePrefix="0" xfId="0">
      <alignment horizontal="right" vertical="center"/>
    </xf>
    <xf numFmtId="0" fontId="0" fillId="0" borderId="43" pivotButton="0" quotePrefix="0" xfId="0"/>
    <xf numFmtId="0" fontId="24" fillId="9" borderId="61" applyAlignment="1" pivotButton="0" quotePrefix="0" xfId="0">
      <alignment horizontal="right" vertical="center"/>
    </xf>
    <xf numFmtId="0" fontId="0" fillId="0" borderId="44" pivotButton="0" quotePrefix="0" xfId="0"/>
    <xf numFmtId="0" fontId="0" fillId="0" borderId="45" pivotButton="0" quotePrefix="0" xfId="0"/>
    <xf numFmtId="0" fontId="78" fillId="0" borderId="0" pivotButton="0" quotePrefix="0" xfId="0"/>
    <xf numFmtId="0" fontId="79" fillId="9" borderId="62" applyAlignment="1" pivotButton="0" quotePrefix="0" xfId="0">
      <alignment horizontal="right" vertical="center"/>
    </xf>
    <xf numFmtId="0" fontId="80" fillId="13" borderId="62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19" fillId="13" borderId="0" pivotButton="0" quotePrefix="0" xfId="0"/>
    <xf numFmtId="0" fontId="27" fillId="0" borderId="0" pivotButton="0" quotePrefix="0" xfId="0"/>
    <xf numFmtId="3" fontId="27" fillId="0" borderId="0" pivotButton="0" quotePrefix="0" xfId="0"/>
    <xf numFmtId="0" fontId="81" fillId="0" borderId="0" applyAlignment="1" pivotButton="0" quotePrefix="0" xfId="0">
      <alignment vertical="top" wrapText="1"/>
    </xf>
    <xf numFmtId="172" fontId="82" fillId="0" borderId="27" pivotButton="0" quotePrefix="0" xfId="2"/>
    <xf numFmtId="172" fontId="83" fillId="0" borderId="8" pivotButton="0" quotePrefix="0" xfId="2"/>
    <xf numFmtId="2" fontId="83" fillId="0" borderId="0" pivotButton="0" quotePrefix="0" xfId="0"/>
    <xf numFmtId="172" fontId="83" fillId="0" borderId="5" pivotButton="0" quotePrefix="0" xfId="2"/>
    <xf numFmtId="172" fontId="83" fillId="0" borderId="0" pivotButton="0" quotePrefix="0" xfId="0"/>
    <xf numFmtId="172" fontId="84" fillId="0" borderId="0" pivotButton="0" quotePrefix="0" xfId="0"/>
  </cellXfs>
  <cellStyles count="4">
    <cellStyle name="Normal" xfId="0" builtinId="0"/>
    <cellStyle name="Percent" xfId="1" builtinId="5"/>
    <cellStyle name="Normal 2" xfId="2"/>
    <cellStyle name="Hyperlink" xfId="3" builtinId="8"/>
  </cellStyles>
  <dxfs count="1">
    <dxf>
      <font>
        <b val="1"/>
        <color rgb="FFC00000"/>
      </font>
      <fill>
        <patternFill patternType="solid">
          <fgColor rgb="FFFCE4E4"/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2E75B6"/>
      <rgbColor rgb="FFBFBFBF"/>
      <rgbColor rgb="FF4F81BD"/>
      <rgbColor rgb="FF9999FF"/>
      <rgbColor rgb="FF7030A0"/>
      <rgbColor rgb="FFFFF2CC"/>
      <rgbColor rgb="FFDDEBF7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D9D9"/>
      <rgbColor rgb="FFFF99CC"/>
      <rgbColor rgb="FFCC99FF"/>
      <rgbColor rgb="FFFCE4D6"/>
      <rgbColor rgb="FF4472C4"/>
      <rgbColor rgb="FF1ABC9C"/>
      <rgbColor rgb="FF99CC00"/>
      <rgbColor rgb="FFFFC000"/>
      <rgbColor rgb="FFFF9900"/>
      <rgbColor rgb="FFED7D31"/>
      <rgbColor rgb="FF595959"/>
      <rgbColor rgb="FFB3B3B3"/>
      <rgbColor rgb="FF1F3864"/>
      <rgbColor rgb="FF70AD47"/>
      <rgbColor rgb="FF003300"/>
      <rgbColor rgb="FF375623"/>
      <rgbColor rgb="FF993300"/>
      <rgbColor rgb="FF9933FF"/>
      <rgbColor rgb="FF2E5DA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Revenue vs Total Cost — 5-Year Trend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Dashboard!$BT$5</f>
              <strCache>
                <ptCount val="1"/>
                <pt idx="0">
                  <v>Gross Revenue</v>
                </pt>
              </strCache>
            </strRef>
          </tx>
          <spPr>
            <a:ln xmlns:a="http://schemas.openxmlformats.org/drawingml/2006/main" w="28080">
              <a:solidFill>
                <a:srgbClr val="2E5DA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Dashboard!$BU$4:$BY$4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Dashboard!$BU$5:$BY$5</f>
              <numCache>
                <formatCode>\₹#,##0;"(₹"#,##0\);\-</formatCode>
                <ptCount val="5"/>
                <pt idx="0">
                  <v>11196000</v>
                </pt>
                <pt idx="1">
                  <v>11755800</v>
                </pt>
                <pt idx="2">
                  <v>12343590</v>
                </pt>
                <pt idx="3">
                  <v>12960769.5</v>
                </pt>
                <pt idx="4">
                  <v>13608807.975</v>
                </pt>
              </numCache>
            </numRef>
          </val>
          <smooth val="1"/>
        </ser>
        <ser>
          <idx val="1"/>
          <order val="1"/>
          <tx>
            <strRef>
              <f>Dashboard!$BT$6</f>
              <strCache>
                <ptCount val="1"/>
                <pt idx="0">
                  <v>Net Revenue</v>
                </pt>
              </strCache>
            </strRef>
          </tx>
          <spPr>
            <a:ln xmlns:a="http://schemas.openxmlformats.org/drawingml/2006/main" w="28080">
              <a:solidFill>
                <a:srgbClr val="4472C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Dashboard!$BU$4:$BY$4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Dashboard!$BU$6:$BY$6</f>
              <numCache>
                <formatCode>\₹#,##0;"(₹"#,##0\);\-</formatCode>
                <ptCount val="5"/>
                <pt idx="0">
                  <v>10636200</v>
                </pt>
                <pt idx="1">
                  <v>11168010</v>
                </pt>
                <pt idx="2">
                  <v>11726410.5</v>
                </pt>
                <pt idx="3">
                  <v>12312731.025</v>
                </pt>
                <pt idx="4">
                  <v>12928367.57625</v>
                </pt>
              </numCache>
            </numRef>
          </val>
          <smooth val="1"/>
        </ser>
        <ser>
          <idx val="2"/>
          <order val="2"/>
          <tx>
            <strRef>
              <f>Dashboard!$BT$7</f>
              <strCache>
                <ptCount val="1"/>
                <pt idx="0">
                  <v>Total Cost</v>
                </pt>
              </strCache>
            </strRef>
          </tx>
          <spPr>
            <a:ln xmlns:a="http://schemas.openxmlformats.org/drawingml/2006/main" w="28080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Dashboard!$BU$4:$BY$4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Dashboard!$BU$7:$BY$7</f>
              <numCache>
                <formatCode>\₹#,##0;"(₹"#,##0\);\-</formatCode>
                <ptCount val="5"/>
                <pt idx="0">
                  <v>13596639.37451842</v>
                </pt>
                <pt idx="1">
                  <v>13828239.37451842</v>
                </pt>
                <pt idx="2">
                  <v>14071419.37451842</v>
                </pt>
                <pt idx="3">
                  <v>14326758.37451842</v>
                </pt>
                <pt idx="4">
                  <v>14594864.32451842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86546234"/>
        <axId val="95415903"/>
      </lineChart>
      <catAx>
        <axId val="8654623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95415903"/>
        <crosses val="autoZero"/>
        <auto val="1"/>
        <lblAlgn val="ctr"/>
        <lblOffset val="100"/>
        <noMultiLvlLbl val="0"/>
      </catAx>
      <valAx>
        <axId val="95415903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₹ Annual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₹#,##0;&quot;(₹&quot;#,##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8654623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Profitability — EBITDA · PBT · PAT (5 Years)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Dashboard!$BT$8</f>
              <strCache>
                <ptCount val="1"/>
                <pt idx="0">
                  <v>EBITDA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Dashboard!$BU$4:$BY$4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Dashboard!$BU$8:$BY$8</f>
              <numCache>
                <formatCode>\₹#,##0;"(₹"#,##0\);\-</formatCode>
                <ptCount val="5"/>
                <pt idx="0">
                  <v>-2960439.374518419</v>
                </pt>
                <pt idx="1">
                  <v>-2660229.374518419</v>
                </pt>
                <pt idx="2">
                  <v>-2345008.874518419</v>
                </pt>
                <pt idx="3">
                  <v>-2014027.349518418</v>
                </pt>
                <pt idx="4">
                  <v>-1666496.74826842</v>
                </pt>
              </numCache>
            </numRef>
          </val>
        </ser>
        <ser>
          <idx val="1"/>
          <order val="1"/>
          <tx>
            <strRef>
              <f>Dashboard!$BT$9</f>
              <strCache>
                <ptCount val="1"/>
                <pt idx="0">
                  <v>PBT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Dashboard!$BU$4:$BY$4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Dashboard!$BU$9:$BY$9</f>
              <numCache>
                <formatCode>\₹#,##0;"(₹"#,##0\);\-</formatCode>
                <ptCount val="5"/>
                <pt idx="0">
                  <v>-9919939.374518419</v>
                </pt>
                <pt idx="1">
                  <v>-8675625.803089848</v>
                </pt>
                <pt idx="2">
                  <v>-7463254.481661276</v>
                </pt>
                <pt idx="3">
                  <v>-6269180.477732704</v>
                </pt>
                <pt idx="4">
                  <v>-5083456.487029134</v>
                </pt>
              </numCache>
            </numRef>
          </val>
        </ser>
        <ser>
          <idx val="2"/>
          <order val="2"/>
          <tx>
            <strRef>
              <f>Dashboard!$BT$10</f>
              <strCache>
                <ptCount val="1"/>
                <pt idx="0">
                  <v>PAT</v>
                </pt>
              </strCache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Dashboard!$BU$4:$BY$4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Dashboard!$BU$10:$BY$10</f>
              <numCache>
                <formatCode>\₹#,##0;"(₹"#,##0\);\-</formatCode>
                <ptCount val="5"/>
                <pt idx="0">
                  <v>-9919939.374518419</v>
                </pt>
                <pt idx="1">
                  <v>-8675625.803089848</v>
                </pt>
                <pt idx="2">
                  <v>-7463254.481661276</v>
                </pt>
                <pt idx="3">
                  <v>-6269180.477732704</v>
                </pt>
                <pt idx="4">
                  <v>-5083456.487029134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245981"/>
        <axId val="34082667"/>
      </barChart>
      <catAx>
        <axId val="1324598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34082667"/>
        <crosses val="autoZero"/>
        <auto val="1"/>
        <lblAlgn val="ctr"/>
        <lblOffset val="100"/>
        <noMultiLvlLbl val="0"/>
      </catAx>
      <valAx>
        <axId val="34082667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₹ Annual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₹#,##0;&quot;(₹&quot;#,##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1324598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Annual Cash Flow — Net &amp; Cumulative (Year 1 includes CAPEX)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Dashboard!$BT$14</f>
              <strCache>
                <ptCount val="1"/>
                <pt idx="0">
                  <v>Net Cash Flow</v>
                </pt>
              </strCache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Dashboard!$BU$13:$BY$13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Dashboard!$BU$14:$BY$14</f>
              <numCache>
                <formatCode>\₹#,##0;"(₹"#,##0\);\-</formatCode>
                <ptCount val="5"/>
                <pt idx="0">
                  <v>-34242639.37451845</v>
                </pt>
                <pt idx="1">
                  <v>-2960439.374518419</v>
                </pt>
                <pt idx="2">
                  <v>-2660229.374518419</v>
                </pt>
                <pt idx="3">
                  <v>-2345008.874518419</v>
                </pt>
                <pt idx="4">
                  <v>-2014027.349518418</v>
                </pt>
              </numCache>
            </numRef>
          </val>
        </ser>
        <ser>
          <idx val="1"/>
          <order val="1"/>
          <tx>
            <strRef>
              <f>Dashboard!$BT$15</f>
              <strCache>
                <ptCount val="1"/>
                <pt idx="0">
                  <v>Cumulative CF</v>
                </pt>
              </strCache>
            </strRef>
          </tx>
          <spPr>
            <a:solidFill xmlns:a="http://schemas.openxmlformats.org/drawingml/2006/main">
              <a:srgbClr val="2E5DA8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Dashboard!$BU$13:$BY$13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Dashboard!$BU$15:$BY$15</f>
              <numCache>
                <formatCode>\₹#,##0;"(₹"#,##0\);\-</formatCode>
                <ptCount val="5"/>
                <pt idx="0">
                  <v>-34242639.37451845</v>
                </pt>
                <pt idx="1">
                  <v>-37203078.74903687</v>
                </pt>
                <pt idx="2">
                  <v>-39863308.12355529</v>
                </pt>
                <pt idx="3">
                  <v>-42208316.9980737</v>
                </pt>
                <pt idx="4">
                  <v>-44222344.34759212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0581071"/>
        <axId val="36531460"/>
      </barChart>
      <catAx>
        <axId val="3058107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36531460"/>
        <crosses val="autoZero"/>
        <auto val="1"/>
        <lblAlgn val="ctr"/>
        <lblOffset val="100"/>
        <noMultiLvlLbl val="0"/>
      </catAx>
      <valAx>
        <axId val="36531460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₹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₹#,##0;&quot;(₹&quot;#,##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305810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Occupancy % vs Monthly EBITDA — Break-Even Visualization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Dashboard!$BT$19</f>
              <strCache>
                <ptCount val="1"/>
                <pt idx="0">
                  <v>Monthly EBITDA</v>
                </pt>
              </strCache>
            </strRef>
          </tx>
          <spPr>
            <a:ln xmlns:a="http://schemas.openxmlformats.org/drawingml/2006/main" w="28080">
              <a:solidFill>
                <a:srgbClr val="70AD47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Dashboard!$BU$18:$CC$18</f>
              <strCache>
                <ptCount val="9"/>
                <pt idx="0">
                  <v>20%</v>
                </pt>
                <pt idx="1">
                  <v>30%</v>
                </pt>
                <pt idx="2">
                  <v>40%</v>
                </pt>
                <pt idx="3">
                  <v>50%</v>
                </pt>
                <pt idx="4">
                  <v>60%</v>
                </pt>
                <pt idx="5">
                  <v>70%</v>
                </pt>
                <pt idx="6">
                  <v>80%</v>
                </pt>
                <pt idx="7">
                  <v>90%</v>
                </pt>
                <pt idx="8">
                  <v>100%</v>
                </pt>
              </strCache>
            </strRef>
          </cat>
          <val>
            <numRef>
              <f>Dashboard!$BU$19:$CC$19</f>
              <numCache>
                <formatCode>\₹#,##0;"(₹"#,##0\);\-</formatCode>
                <ptCount val="9"/>
                <pt idx="0">
                  <v>-629803.2812098684</v>
                </pt>
                <pt idx="1">
                  <v>-554428.2812098684</v>
                </pt>
                <pt idx="2">
                  <v>-486553.2812098684</v>
                </pt>
                <pt idx="3">
                  <v>-411178.2812098684</v>
                </pt>
                <pt idx="4">
                  <v>-343303.2812098684</v>
                </pt>
                <pt idx="5">
                  <v>-267928.2812098684</v>
                </pt>
                <pt idx="6">
                  <v>-200053.2812098684</v>
                </pt>
                <pt idx="7">
                  <v>-124678.2812098684</v>
                </pt>
                <pt idx="8">
                  <v>-56803.28120986838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99325023"/>
        <axId val="66945248"/>
      </lineChart>
      <catAx>
        <axId val="9932502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Occupancy %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66945248"/>
        <crosses val="autoZero"/>
        <auto val="1"/>
        <lblAlgn val="ctr"/>
        <lblOffset val="100"/>
        <noMultiLvlLbl val="0"/>
      </catAx>
      <valAx>
        <axId val="6694524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Monthly EBITDA (₹)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₹#,##0;&quot;(₹&quot;#,##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9932502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IN"/>
              <a:t>Owned vs Rent — Key Financial Comparison (₹ Crores)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Dashboard!$BT$23</f>
              <strCache>
                <ptCount val="1"/>
                <pt idx="0">
                  <v>Owned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Dashboard!$BU$22:$BW$22</f>
              <strCache>
                <ptCount val="3"/>
                <pt idx="0">
                  <v>Ann. EBITDA</v>
                </pt>
                <pt idx="1">
                  <v>Ann. PAT</v>
                </pt>
                <pt idx="2">
                  <v>Ann. Cost</v>
                </pt>
              </strCache>
            </strRef>
          </cat>
          <val>
            <numRef>
              <f>Dashboard!$BU$23:$BW$23</f>
              <numCache>
                <formatCode>\₹0.00" Cr"</formatCode>
                <ptCount val="3"/>
                <pt idx="0">
                  <v>-0.2960439374518419</v>
                </pt>
                <pt idx="1">
                  <v>-0.9919939374518418</v>
                </pt>
                <pt idx="2">
                  <v>1.359663937451842</v>
                </pt>
              </numCache>
            </numRef>
          </val>
        </ser>
        <ser>
          <idx val="1"/>
          <order val="1"/>
          <tx>
            <strRef>
              <f>Dashboard!$BT$24</f>
              <strCache>
                <ptCount val="1"/>
                <pt idx="0">
                  <v>Rent</v>
                </pt>
              </strCache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Dashboard!$BU$22:$BW$22</f>
              <strCache>
                <ptCount val="3"/>
                <pt idx="0">
                  <v>Ann. EBITDA</v>
                </pt>
                <pt idx="1">
                  <v>Ann. PAT</v>
                </pt>
                <pt idx="2">
                  <v>Ann. Cost</v>
                </pt>
              </strCache>
            </strRef>
          </cat>
          <val>
            <numRef>
              <f>Dashboard!$BU$24:$BW$24</f>
              <numCache>
                <formatCode>\₹0.00" Cr"</formatCode>
                <ptCount val="3"/>
                <pt idx="0">
                  <v>0.21042</v>
                </pt>
                <pt idx="1">
                  <v>-0.04723</v>
                </pt>
                <pt idx="2">
                  <v>0.8532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1359319"/>
        <axId val="26132322"/>
      </barChart>
      <catAx>
        <axId val="51359319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Metric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26132322"/>
        <crosses val="autoZero"/>
        <auto val="1"/>
        <lblAlgn val="ctr"/>
        <lblOffset val="100"/>
        <noMultiLvlLbl val="0"/>
      </catAx>
      <valAx>
        <axId val="26132322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IN"/>
                  <a:t>₹ Crores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₹0.00&quot; Cr&quot;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crossAx val="5135931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8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/>
              <a:t xml:space="preserve">Annual Cost Structure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8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US"/>
        </a:p>
      </txPr>
    </title>
    <plotArea>
      <layout/>
      <doughnutChart>
        <varyColors val="1"/>
        <ser>
          <idx val="0"/>
          <order val="0"/>
          <tx>
            <strRef>
              <f>Dashboard!$BT$28</f>
              <strCache>
                <ptCount val="1"/>
                <pt idx="0">
                  <v>Annual Cost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howLegendKey val="0"/>
              <showVal val="0"/>
              <showCatName val="0"/>
              <showSerName val="0"/>
              <showPercent val="1"/>
              <showBubbleSize val="1"/>
            </dLbl>
            <dLbl>
              <idx val="1"/>
              <showLegendKey val="0"/>
              <showVal val="0"/>
              <showCatName val="0"/>
              <showSerName val="0"/>
              <showPercent val="1"/>
              <showBubbleSize val="1"/>
            </dLbl>
            <dLbl>
              <idx val="2"/>
              <showLegendKey val="0"/>
              <showVal val="0"/>
              <showCatName val="0"/>
              <showSerName val="0"/>
              <showPercent val="1"/>
              <showBubbleSize val="1"/>
            </dLbl>
            <dLbl>
              <idx val="3"/>
              <showLegendKey val="0"/>
              <showVal val="0"/>
              <showCatName val="0"/>
              <showSerName val="0"/>
              <showPercent val="1"/>
              <showBubbleSize val="1"/>
            </dLbl>
            <dLbl>
              <idx val="4"/>
              <showLegendKey val="0"/>
              <showVal val="0"/>
              <showCatName val="0"/>
              <showSerName val="0"/>
              <showPercent val="1"/>
              <showBubbleSize val="1"/>
            </dLbl>
            <spPr>
              <a:pattFill xmlns:a="http://schemas.openxmlformats.org/drawingml/2006/main"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400" b="1" i="0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1"/>
            <showLeaderLines val="1"/>
          </dLbls>
          <cat>
            <strRef>
              <f>Dashboard!$BU$27:$BY$27</f>
              <strCache>
                <ptCount val="5"/>
                <pt idx="0">
                  <v>EMI/Rent</v>
                </pt>
                <pt idx="1">
                  <v>Salaries</v>
                </pt>
                <pt idx="2">
                  <v>Utilities</v>
                </pt>
                <pt idx="3">
                  <v>Mktg &amp; Admin</v>
                </pt>
                <pt idx="4">
                  <v>Variable</v>
                </pt>
              </strCache>
            </strRef>
          </cat>
          <val>
            <numRef>
              <f>Dashboard!$BU$28:$BY$28</f>
              <numCache>
                <formatCode>\₹#,##0;"(₹"#,##0\);\-</formatCode>
                <ptCount val="5"/>
                <pt idx="0">
                  <v>8964639.374518419</v>
                </pt>
                <pt idx="1">
                  <v>2388000</v>
                </pt>
                <pt idx="2">
                  <v>936000</v>
                </pt>
                <pt idx="3">
                  <v>444000</v>
                </pt>
                <pt idx="4">
                  <v>864000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8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/>
              <a:t xml:space="preserve">Revenue Growth Chart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8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I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Dashboard!$CB$5</f>
              <strCache>
                <ptCount val="1"/>
                <pt idx="0">
                  <v>Gross 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Dashboard!$CC$3:$CG$4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Dashboard!$CC$5:$CG$5</f>
              <numCache>
                <formatCode>General</formatCode>
                <ptCount val="5"/>
                <pt idx="0">
                  <v>11196000</v>
                </pt>
                <pt idx="1">
                  <v>11755800</v>
                </pt>
                <pt idx="2">
                  <v>12343590</v>
                </pt>
                <pt idx="3">
                  <v>12960769.5</v>
                </pt>
                <pt idx="4">
                  <v>13608807.975</v>
                </pt>
              </numCache>
            </numRef>
          </val>
        </ser>
        <ser>
          <idx val="1"/>
          <order val="1"/>
          <tx>
            <strRef>
              <f>Dashboard!$CB$6</f>
              <strCache>
                <ptCount val="1"/>
                <pt idx="0">
                  <v>Net 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Dashboard!$CC$3:$CG$4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Dashboard!$CC$6:$CG$6</f>
              <numCache>
                <formatCode>General</formatCode>
                <ptCount val="5"/>
                <pt idx="0">
                  <v>10636200</v>
                </pt>
                <pt idx="1">
                  <v>11168010</v>
                </pt>
                <pt idx="2">
                  <v>11726410.5</v>
                </pt>
                <pt idx="3">
                  <v>12312731.025</v>
                </pt>
                <pt idx="4">
                  <v>12928367.57625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32554047"/>
        <axId val="1432547807"/>
      </barChart>
      <catAx>
        <axId val="14325540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n-US"/>
          </a:p>
        </txPr>
        <crossAx val="1432547807"/>
        <crosses val="autoZero"/>
        <auto val="1"/>
        <lblAlgn val="ctr"/>
        <lblOffset val="100"/>
        <noMultiLvlLbl val="0"/>
      </catAx>
      <valAx>
        <axId val="143254780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n-US"/>
          </a:p>
        </txPr>
        <crossAx val="143255404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8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/>
              <a:t>Fixed vs Variable Cost Table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8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IN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Dashboard!$CB$23</f>
              <strCache>
                <ptCount val="1"/>
                <pt idx="0">
                  <v>Fised cost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Dashboard!$CC$21:$CG$22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Dashboard!$CC$23:$CG$23</f>
              <numCache>
                <formatCode>General</formatCode>
                <ptCount val="5"/>
                <pt idx="0">
                  <v>12732639.37451842</v>
                </pt>
                <pt idx="1">
                  <v>12921039.37451842</v>
                </pt>
                <pt idx="2">
                  <v>13118859.37451842</v>
                </pt>
                <pt idx="3">
                  <v>13326570.37451842</v>
                </pt>
                <pt idx="4">
                  <v>13544666.92451842</v>
                </pt>
              </numCache>
            </numRef>
          </val>
        </ser>
        <ser>
          <idx val="1"/>
          <order val="1"/>
          <tx>
            <strRef>
              <f>Dashboard!$CB$24</f>
              <strCache>
                <ptCount val="1"/>
                <pt idx="0">
                  <v>Variable Cost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Dashboard!$CC$21:$CG$22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Dashboard!$CC$24:$CG$24</f>
              <numCache>
                <formatCode>General</formatCode>
                <ptCount val="5"/>
                <pt idx="0">
                  <v>864000</v>
                </pt>
                <pt idx="1">
                  <v>907200</v>
                </pt>
                <pt idx="2">
                  <v>952560</v>
                </pt>
                <pt idx="3">
                  <v>1000188</v>
                </pt>
                <pt idx="4">
                  <v>1050197.4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579990639"/>
        <axId val="1579991599"/>
      </barChart>
      <catAx>
        <axId val="15799906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n-US"/>
          </a:p>
        </txPr>
        <crossAx val="1579991599"/>
        <crosses val="autoZero"/>
        <auto val="1"/>
        <lblAlgn val="ctr"/>
        <lblOffset val="100"/>
        <noMultiLvlLbl val="0"/>
      </catAx>
      <valAx>
        <axId val="157999159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n-US"/>
          </a:p>
        </txPr>
        <crossAx val="157999063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>
              <a:defRPr sz="168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b="1"/>
              <a:t>Break-even Analysis Chart</a:t>
            </a:r>
          </a:p>
        </rich>
      </tx>
      <layout>
        <manualLayout>
          <xMode val="edge"/>
          <yMode val="edge"/>
          <wMode val="factor"/>
          <hMode val="factor"/>
          <x val="0.3666789844377329"/>
          <y val="0.0257447218252399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>
            <a:defRPr sz="168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I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Dashboard!$CE$9</f>
              <strCache>
                <ptCount val="1"/>
                <pt idx="0">
                  <v xml:space="preserve">Price per Seat per month 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Dashboard!$CF$10:$CF$19</f>
              <numCache>
                <formatCode>General</formatCode>
                <ptCount val="10"/>
                <pt idx="0">
                  <v>259</v>
                </pt>
                <pt idx="1">
                  <v>209</v>
                </pt>
                <pt idx="2">
                  <v>161</v>
                </pt>
                <pt idx="3">
                  <v>131</v>
                </pt>
                <pt idx="4">
                  <v>117</v>
                </pt>
                <pt idx="5">
                  <v>96</v>
                </pt>
                <pt idx="6">
                  <v>76</v>
                </pt>
                <pt idx="7">
                  <v>63</v>
                </pt>
                <pt idx="8">
                  <v>56</v>
                </pt>
                <pt idx="9">
                  <v>45</v>
                </pt>
              </numCache>
            </numRef>
          </val>
          <smooth val="0"/>
        </ser>
        <ser>
          <idx val="1"/>
          <order val="1"/>
          <tx>
            <strRef>
              <f>Dashboard!$CF$9</f>
              <strCache>
                <ptCount val="1"/>
                <pt idx="0">
                  <v>BEP Seats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Dashboard!$CG$10:$CG$19</f>
              <numCache>
                <formatCode>General</formatCode>
                <ptCount val="1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32540127"/>
        <axId val="1432540607"/>
      </lineChart>
      <catAx>
        <axId val="1432540127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n-US"/>
          </a:p>
        </txPr>
        <crossAx val="1432540607"/>
        <crosses val="autoZero"/>
        <auto val="1"/>
        <lblAlgn val="ctr"/>
        <lblOffset val="100"/>
        <noMultiLvlLbl val="0"/>
      </catAx>
      <valAx>
        <axId val="143254060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n-US"/>
          </a:p>
        </txPr>
        <crossAx val="143254012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8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/>
              <a:t>Revenue MIX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8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pattFill xmlns:a="http://schemas.openxmlformats.org/drawingml/2006/main"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400" b="1" i="0" strike="noStrike" kern="1200" baseline="0">
                    <a:solidFill>
                      <a:schemeClr val="lt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Dashboard!$CA$9:$CA$15</f>
              <strCache>
                <ptCount val="7"/>
                <pt idx="0">
                  <v>Hot Desks</v>
                </pt>
                <pt idx="1">
                  <v>Dedicated Desks</v>
                </pt>
                <pt idx="2">
                  <v>Private Cabins</v>
                </pt>
                <pt idx="3">
                  <v>Meeting Rooms</v>
                </pt>
                <pt idx="4">
                  <v>Virtual Office Memberships</v>
                </pt>
                <pt idx="5">
                  <v>Events &amp; Workshops</v>
                </pt>
                <pt idx="6">
                  <v>Workation Packages</v>
                </pt>
              </strCache>
            </strRef>
          </cat>
          <val>
            <numRef>
              <f>Dashboard!$CB$9:$CB$15</f>
              <numCache>
                <formatCode>General</formatCode>
                <ptCount val="7"/>
                <pt idx="0">
                  <v>3240000</v>
                </pt>
                <pt idx="1">
                  <v>2484000</v>
                </pt>
                <pt idx="2">
                  <v>2016000</v>
                </pt>
                <pt idx="3">
                  <v>864000</v>
                </pt>
                <pt idx="4">
                  <v>720000</v>
                </pt>
                <pt idx="5">
                  <v>720000</v>
                </pt>
                <pt idx="6">
                  <v>1152000</v>
                </pt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r"/>
      <overlay val="0"/>
      <spPr>
        <a:solidFill xmlns:a="http://schemas.openxmlformats.org/drawingml/2006/main">
          <a:schemeClr val="lt1">
            <a:alpha val="39000"/>
            <a:lumMod val="95000"/>
          </a:schemeClr>
        </a:solidFill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strike="noStrike" baseline="0">
                <effectLst/>
              </a:rPr>
              <a:t xml:space="preserve">Revenue Growth Chart </a:t>
            </a:r>
            <a:endParaRPr lang="en-IN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I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'P&amp;L'!$B$77</f>
              <strCache>
                <ptCount val="1"/>
                <pt idx="0">
                  <v>Gross 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'P&amp;L'!$C$75:$G$76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'P&amp;L'!$C$77:$G$77</f>
              <numCache>
                <formatCode>\₹#,##0;"(₹"#,##0\);\-</formatCode>
                <ptCount val="5"/>
                <pt idx="0">
                  <v>11196000</v>
                </pt>
                <pt idx="1">
                  <v>11755800</v>
                </pt>
                <pt idx="2">
                  <v>12343590</v>
                </pt>
                <pt idx="3">
                  <v>12960769.5</v>
                </pt>
                <pt idx="4">
                  <v>13608807.975</v>
                </pt>
              </numCache>
            </numRef>
          </val>
        </ser>
        <ser>
          <idx val="1"/>
          <order val="1"/>
          <tx>
            <strRef>
              <f>'P&amp;L'!$B$78</f>
              <strCache>
                <ptCount val="1"/>
                <pt idx="0">
                  <v>Net 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'P&amp;L'!$C$75:$G$76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'P&amp;L'!$C$78:$G$78</f>
              <numCache>
                <formatCode>\₹#,##0;"(₹"#,##0\);\-</formatCode>
                <ptCount val="5"/>
                <pt idx="0">
                  <v>10636200</v>
                </pt>
                <pt idx="1">
                  <v>11168010</v>
                </pt>
                <pt idx="2">
                  <v>11726410.5</v>
                </pt>
                <pt idx="3">
                  <v>12312731.025</v>
                </pt>
                <pt idx="4">
                  <v>12928367.57625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03728639"/>
        <axId val="1303729119"/>
      </barChart>
      <catAx>
        <axId val="13037286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03729119"/>
        <crosses val="autoZero"/>
        <auto val="1"/>
        <lblAlgn val="ctr"/>
        <lblOffset val="100"/>
        <noMultiLvlLbl val="0"/>
      </catAx>
      <valAx>
        <axId val="130372911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\₹#,##0;&quot;(₹&quot;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0372863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strike="noStrike" baseline="0"/>
              <a:t>Fixed vs Variable Cost Table</a:t>
            </a:r>
            <a:endParaRPr lang="en-IN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IN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'P&amp;L'!$B$98</f>
              <strCache>
                <ptCount val="1"/>
                <pt idx="0">
                  <v>Fised cost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'P&amp;L'!$C$96:$G$97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'P&amp;L'!$C$98:$G$98</f>
              <numCache>
                <formatCode>\₹#,##0;"(₹"#,##0\);\-</formatCode>
                <ptCount val="5"/>
                <pt idx="0">
                  <v>12732639.37451842</v>
                </pt>
                <pt idx="1">
                  <v>12921039.37451842</v>
                </pt>
                <pt idx="2">
                  <v>13118859.37451842</v>
                </pt>
                <pt idx="3">
                  <v>13326570.37451842</v>
                </pt>
                <pt idx="4">
                  <v>13544666.92451842</v>
                </pt>
              </numCache>
            </numRef>
          </val>
        </ser>
        <ser>
          <idx val="1"/>
          <order val="1"/>
          <tx>
            <strRef>
              <f>'P&amp;L'!$B$99</f>
              <strCache>
                <ptCount val="1"/>
                <pt idx="0">
                  <v>Variable Cost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'P&amp;L'!$C$96:$G$97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'P&amp;L'!$C$99:$G$99</f>
              <numCache>
                <formatCode>\₹#,##0;"(₹"#,##0\);\-</formatCode>
                <ptCount val="5"/>
                <pt idx="0">
                  <v>864000</v>
                </pt>
                <pt idx="1">
                  <v>907200</v>
                </pt>
                <pt idx="2">
                  <v>952560</v>
                </pt>
                <pt idx="3">
                  <v>1000188</v>
                </pt>
                <pt idx="4">
                  <v>1050197.4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579995919"/>
        <axId val="1579994479"/>
      </barChart>
      <catAx>
        <axId val="15799959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79994479"/>
        <crosses val="autoZero"/>
        <auto val="1"/>
        <lblAlgn val="ctr"/>
        <lblOffset val="100"/>
        <noMultiLvlLbl val="0"/>
      </catAx>
      <valAx>
        <axId val="157999447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\₹#,##0;&quot;(₹&quot;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7999591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BEP Chart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'Break Even'!$B$69</f>
              <strCache>
                <ptCount val="1"/>
                <pt idx="0">
                  <v xml:space="preserve">Price per Seat per month </v>
                </pt>
              </strCache>
            </strRef>
          </tx>
          <spPr>
            <a:ln xmlns:a="http://schemas.openxmlformats.org/drawingml/2006/main" w="22225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'Break Even'!$B$70:$B$79</f>
              <numCache>
                <formatCode>\₹#,##0;"(₹"#,##0\);\-</formatCode>
                <ptCount val="10"/>
                <pt idx="0">
                  <v>5000</v>
                </pt>
                <pt idx="1">
                  <v>6000</v>
                </pt>
                <pt idx="2">
                  <v>7500</v>
                </pt>
                <pt idx="3">
                  <v>9000</v>
                </pt>
                <pt idx="4">
                  <v>10000</v>
                </pt>
                <pt idx="5">
                  <v>12000</v>
                </pt>
                <pt idx="6">
                  <v>15000</v>
                </pt>
                <pt idx="7">
                  <v>18000</v>
                </pt>
                <pt idx="8">
                  <v>20000</v>
                </pt>
                <pt idx="9">
                  <v>25000</v>
                </pt>
              </numCache>
            </numRef>
          </val>
          <smooth val="0"/>
        </ser>
        <ser>
          <idx val="1"/>
          <order val="1"/>
          <tx>
            <strRef>
              <f>'Break Even'!$C$69</f>
              <strCache>
                <ptCount val="1"/>
                <pt idx="0">
                  <v>BEP Seats</v>
                </pt>
              </strCache>
            </strRef>
          </tx>
          <spPr>
            <a:ln xmlns:a="http://schemas.openxmlformats.org/drawingml/2006/main" w="22225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'Break Even'!$C$70:$C$79</f>
              <numCache>
                <formatCode>#,##0;\(#,##0\);\-</formatCode>
                <ptCount val="10"/>
                <pt idx="0">
                  <v>259</v>
                </pt>
                <pt idx="1">
                  <v>209</v>
                </pt>
                <pt idx="2">
                  <v>161</v>
                </pt>
                <pt idx="3">
                  <v>131</v>
                </pt>
                <pt idx="4">
                  <v>117</v>
                </pt>
                <pt idx="5">
                  <v>96</v>
                </pt>
                <pt idx="6">
                  <v>76</v>
                </pt>
                <pt idx="7">
                  <v>63</v>
                </pt>
                <pt idx="8">
                  <v>56</v>
                </pt>
                <pt idx="9">
                  <v>45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dropLines>
          <spPr>
            <a:ln xmlns:a="http://schemas.openxmlformats.org/drawingml/2006/main"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spPr>
        </dropLines>
        <smooth val="0"/>
        <axId val="1580001199"/>
        <axId val="1580001679"/>
      </lineChart>
      <catAx>
        <axId val="1580001199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80001679"/>
        <crosses val="autoZero"/>
        <auto val="1"/>
        <lblAlgn val="ctr"/>
        <lblOffset val="100"/>
        <noMultiLvlLbl val="0"/>
      </catAx>
      <valAx>
        <axId val="1580001679"/>
        <scaling>
          <orientation val="minMax"/>
        </scaling>
        <delete val="0"/>
        <axPos val="l"/>
        <numFmt formatCode="\₹#,##0;&quot;(₹&quot;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8000119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twoCellAnchor editAs="oneCell">
    <from>
      <col>2</col>
      <colOff>457200</colOff>
      <row>37</row>
      <rowOff>54429</rowOff>
    </from>
    <to>
      <col>14</col>
      <colOff>1543050</colOff>
      <row>58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</col>
      <colOff>438150</colOff>
      <row>59</row>
      <rowOff>149679</rowOff>
    </from>
    <to>
      <col>14</col>
      <colOff>1524000</colOff>
      <row>84</row>
      <rowOff>38100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23</col>
      <colOff>1352551</colOff>
      <row>36</row>
      <rowOff>152400</rowOff>
    </from>
    <to>
      <col>36</col>
      <colOff>38101</colOff>
      <row>58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23</col>
      <colOff>1371600</colOff>
      <row>60</row>
      <rowOff>57150</rowOff>
    </from>
    <to>
      <col>36</col>
      <colOff>76200</colOff>
      <row>84</row>
      <rowOff>152400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14</col>
      <colOff>1943101</colOff>
      <row>60</row>
      <rowOff>19050</rowOff>
    </from>
    <to>
      <col>23</col>
      <colOff>1028701</colOff>
      <row>84</row>
      <rowOff>133350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26</col>
      <colOff>15240</colOff>
      <row>16</row>
      <rowOff>140970</rowOff>
    </from>
    <to>
      <col>36</col>
      <colOff>76201</colOff>
      <row>34</row>
      <rowOff>172570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27</col>
      <colOff>387836</colOff>
      <row>1</row>
      <rowOff>325433</rowOff>
    </from>
    <to>
      <col>36</col>
      <colOff>44823</colOff>
      <row>15</row>
      <rowOff>48408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397715</colOff>
      <row>2</row>
      <rowOff>55827</rowOff>
    </from>
    <to>
      <col>10</col>
      <colOff>552609</colOff>
      <row>14</row>
      <rowOff>379079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13</col>
      <colOff>673395</colOff>
      <row>16</row>
      <rowOff>150628</rowOff>
    </from>
    <to>
      <col>25</col>
      <colOff>133350</colOff>
      <row>34</row>
      <rowOff>57151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2</col>
      <colOff>413657</colOff>
      <row>16</row>
      <rowOff>141514</rowOff>
    </from>
    <to>
      <col>13</col>
      <colOff>438151</colOff>
      <row>34</row>
      <rowOff>114300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2</col>
      <colOff>640976</colOff>
      <row>78</row>
      <rowOff>53788</rowOff>
    </from>
    <to>
      <col>4</col>
      <colOff>1591235</colOff>
      <row>93</row>
      <rowOff>107576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811305</colOff>
      <row>100</row>
      <rowOff>80683</rowOff>
    </from>
    <to>
      <col>4</col>
      <colOff>1761564</colOff>
      <row>115</row>
      <rowOff>134471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3</col>
      <colOff>685800</colOff>
      <row>68</row>
      <rowOff>170329</rowOff>
    </from>
    <to>
      <col>5</col>
      <colOff>1008529</colOff>
      <row>83</row>
      <rowOff>116541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zoomScale="70" zoomScaleNormal="70" workbookViewId="0">
      <selection activeCell="C10" sqref="C10"/>
    </sheetView>
  </sheetViews>
  <sheetFormatPr baseColWidth="8" defaultRowHeight="15"/>
  <cols>
    <col width="8.88671875" customWidth="1" style="13" min="1" max="1"/>
    <col width="10.109375" bestFit="1" customWidth="1" style="13" min="2" max="2"/>
    <col width="40.77734375" bestFit="1" customWidth="1" style="13" min="3" max="3"/>
    <col width="8.88671875" customWidth="1" style="13" min="4" max="16384"/>
  </cols>
  <sheetData>
    <row r="1" ht="15.6" customHeight="1" thickBot="1"/>
    <row r="2" ht="24.6" customHeight="1">
      <c r="B2" s="409" t="inlineStr">
        <is>
          <t>Srno</t>
        </is>
      </c>
      <c r="C2" s="410" t="inlineStr">
        <is>
          <t xml:space="preserve">Sheet </t>
        </is>
      </c>
    </row>
    <row r="3" ht="24.6" customHeight="1">
      <c r="B3" s="411" t="n">
        <v>1</v>
      </c>
      <c r="C3" s="413" t="inlineStr">
        <is>
          <t>Dashboard</t>
        </is>
      </c>
    </row>
    <row r="4" ht="24.6" customHeight="1">
      <c r="B4" s="411" t="n">
        <v>2</v>
      </c>
      <c r="C4" s="413" t="inlineStr">
        <is>
          <t xml:space="preserve">Input </t>
        </is>
      </c>
    </row>
    <row r="5" ht="24.6" customHeight="1">
      <c r="B5" s="411" t="n">
        <v>3</v>
      </c>
      <c r="C5" s="413" t="inlineStr">
        <is>
          <t>Assumptions</t>
        </is>
      </c>
    </row>
    <row r="6" ht="24.6" customHeight="1">
      <c r="B6" s="411" t="n">
        <v>4</v>
      </c>
      <c r="C6" s="413" t="inlineStr">
        <is>
          <t xml:space="preserve">Revenue </t>
        </is>
      </c>
    </row>
    <row r="7" ht="24.6" customHeight="1">
      <c r="B7" s="411" t="n">
        <v>5</v>
      </c>
      <c r="C7" s="413" t="inlineStr">
        <is>
          <t>Cost Sheet</t>
        </is>
      </c>
    </row>
    <row r="8" ht="24.6" customHeight="1">
      <c r="B8" s="411" t="n">
        <v>6</v>
      </c>
      <c r="C8" s="413" t="inlineStr">
        <is>
          <t>Occupancy Analysis</t>
        </is>
      </c>
    </row>
    <row r="9" ht="24.6" customHeight="1">
      <c r="B9" s="411" t="n">
        <v>7</v>
      </c>
      <c r="C9" s="413" t="inlineStr">
        <is>
          <t>Revenue Model</t>
        </is>
      </c>
    </row>
    <row r="10" ht="24.6" customHeight="1">
      <c r="B10" s="411" t="n">
        <v>8</v>
      </c>
      <c r="C10" s="413" t="inlineStr">
        <is>
          <t xml:space="preserve">Profit &amp; Loss </t>
        </is>
      </c>
    </row>
    <row r="11" ht="24.6" customHeight="1">
      <c r="B11" s="411" t="n">
        <v>9</v>
      </c>
      <c r="C11" s="413" t="inlineStr">
        <is>
          <t xml:space="preserve">Cash Budget </t>
        </is>
      </c>
    </row>
    <row r="12" ht="24.6" customHeight="1">
      <c r="B12" s="411" t="n">
        <v>10</v>
      </c>
      <c r="C12" s="413" t="inlineStr">
        <is>
          <t>Working Capital</t>
        </is>
      </c>
    </row>
    <row r="13" ht="24.6" customHeight="1">
      <c r="B13" s="411" t="n">
        <v>11</v>
      </c>
      <c r="C13" s="413" t="inlineStr">
        <is>
          <t>Standard Costing</t>
        </is>
      </c>
    </row>
    <row r="14" ht="24.6" customHeight="1">
      <c r="B14" s="411" t="n">
        <v>12</v>
      </c>
      <c r="C14" s="413" t="inlineStr">
        <is>
          <t>Flexible Budget</t>
        </is>
      </c>
    </row>
    <row r="15" ht="24.6" customHeight="1">
      <c r="B15" s="411" t="n">
        <v>13</v>
      </c>
      <c r="C15" s="413" t="inlineStr">
        <is>
          <t>Break-even Analysis</t>
        </is>
      </c>
    </row>
    <row r="16" ht="24.6" customHeight="1">
      <c r="B16" s="411" t="n">
        <v>14</v>
      </c>
      <c r="C16" s="413" t="inlineStr">
        <is>
          <t>Sensitivity Analysis</t>
        </is>
      </c>
    </row>
    <row r="17" ht="24.6" customHeight="1">
      <c r="B17" s="411" t="n">
        <v>15</v>
      </c>
      <c r="C17" s="413" t="inlineStr">
        <is>
          <t>Investment Appraisal</t>
        </is>
      </c>
    </row>
    <row r="18" ht="24.6" customHeight="1">
      <c r="B18" s="411" t="n">
        <v>16</v>
      </c>
      <c r="C18" s="413" t="inlineStr">
        <is>
          <t>Scenario Comparison</t>
        </is>
      </c>
    </row>
    <row r="19" ht="25.2" customHeight="1" thickBot="1">
      <c r="B19" s="414" t="n">
        <v>17</v>
      </c>
      <c r="C19" s="412" t="inlineStr">
        <is>
          <t>Summary</t>
        </is>
      </c>
    </row>
  </sheetData>
  <hyperlinks>
    <hyperlink ref="C3" location="Dashboard!A1" display="Dashboard"/>
    <hyperlink ref="C4" location="Input!A1" display="Input "/>
    <hyperlink ref="C5" location="Assumptions!A1" display="Assumptions"/>
    <hyperlink ref="C6" location="Revenue!A1" display="Revenue "/>
    <hyperlink ref="C7" location="'Cost sheet'!A1" display="Cost Sheet"/>
    <hyperlink ref="C8" location="Occupancy!A1" display="Occupancy Analysis"/>
    <hyperlink ref="C9" location="'Revenue Model'!A1" display=" Revenue Model"/>
    <hyperlink ref="C10" location="'P&amp;L'!A1" display="Profit &amp; Loss "/>
    <hyperlink ref="C11" location="'Cash Budget'!A1" display="Cash Budget "/>
    <hyperlink ref="C12" location="'Working Capital'!A1" display=" Working Capital"/>
    <hyperlink ref="C13" location="'Standard Cost'!A1" display="Standard Costing"/>
    <hyperlink ref="C14" location="'Flexible Budget'!A1" display="Flexible Budget"/>
    <hyperlink ref="C15" location="'Break Even'!A1" display="Break-even Analysis"/>
    <hyperlink ref="C16" location="Sensitivity!A1" display="Sensitivity Analysis"/>
    <hyperlink ref="C17" location="'Investment Appraisal'!A1" display=" Investment Appraisal"/>
    <hyperlink ref="C18" location="'Scenario '!A1" display="Scenario Comparison"/>
    <hyperlink ref="C19" location="Summary!A1" display="Summar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7">
    <outlinePr summaryBelow="1" summaryRight="1"/>
    <pageSetUpPr fitToPage="1"/>
  </sheetPr>
  <dimension ref="C1:CH87"/>
  <sheetViews>
    <sheetView showGridLines="0" zoomScale="48" zoomScaleNormal="85" workbookViewId="0">
      <selection activeCell="B18" sqref="B18"/>
    </sheetView>
  </sheetViews>
  <sheetFormatPr baseColWidth="8" defaultColWidth="8.6640625" defaultRowHeight="15"/>
  <cols>
    <col width="8.6640625" customWidth="1" style="13" min="1" max="1"/>
    <col width="8.6640625" customWidth="1" style="13" min="2" max="2"/>
    <col width="8.6640625" customWidth="1" style="13" min="3" max="3"/>
    <col width="8.6640625" customWidth="1" style="13" min="4" max="4"/>
    <col width="8.6640625" customWidth="1" style="13" min="5" max="11"/>
    <col width="3.6640625" customWidth="1" style="13" min="12" max="12"/>
    <col width="8.5546875" customWidth="1" style="13" min="13" max="13"/>
    <col width="10" customWidth="1" style="13" min="14" max="14"/>
    <col width="36.21875" bestFit="1" customWidth="1" style="13" min="15" max="15"/>
    <col width="14.109375" customWidth="1" style="13" min="16" max="16"/>
    <col width="11.6640625" customWidth="1" style="13" min="17" max="17"/>
    <col width="21.21875" bestFit="1" customWidth="1" style="13" min="18" max="18"/>
    <col width="8.5546875" bestFit="1" customWidth="1" style="13" min="19" max="19"/>
    <col width="12.5546875" customWidth="1" style="13" min="20" max="20"/>
    <col width="22.33203125" bestFit="1" customWidth="1" style="13" min="21" max="21"/>
    <col width="12.21875" bestFit="1" customWidth="1" style="13" min="22" max="22"/>
    <col width="14" customWidth="1" style="13" min="23" max="23"/>
    <col width="26.77734375" bestFit="1" customWidth="1" style="13" min="24" max="24"/>
    <col width="9.109375" bestFit="1" customWidth="1" style="13" min="25" max="25"/>
    <col width="5" customWidth="1" style="13" min="26" max="26"/>
    <col width="9.44140625" customWidth="1" style="13" min="27" max="27"/>
    <col width="8.6640625" customWidth="1" style="13" min="28" max="30"/>
    <col width="11" bestFit="1" customWidth="1" style="13" min="31" max="31"/>
    <col width="8.6640625" customWidth="1" style="13" min="32" max="32"/>
    <col width="8.88671875" customWidth="1" style="13" min="33" max="33"/>
    <col width="10.6640625" customWidth="1" style="13" min="34" max="34"/>
    <col width="14.6640625" bestFit="1" customWidth="1" style="13" min="35" max="35"/>
    <col width="10.44140625" bestFit="1" customWidth="1" style="13" min="36" max="38"/>
    <col width="10.44140625" customWidth="1" style="13" min="39" max="70"/>
    <col width="5.44140625" bestFit="1" customWidth="1" style="13" min="71" max="71"/>
    <col width="21.5546875" bestFit="1" customWidth="1" style="13" min="72" max="72"/>
    <col width="19" bestFit="1" customWidth="1" style="13" min="73" max="73"/>
    <col width="17.88671875" bestFit="1" customWidth="1" style="13" min="74" max="74"/>
    <col width="17.33203125" bestFit="1" customWidth="1" style="13" min="75" max="75"/>
    <col width="20.6640625" bestFit="1" customWidth="1" style="13" min="76" max="76"/>
    <col width="18.21875" bestFit="1" customWidth="1" style="13" min="77" max="77"/>
    <col width="14.33203125" bestFit="1" customWidth="1" style="13" min="78" max="78"/>
    <col width="19" bestFit="1" customWidth="1" style="13" min="79" max="79"/>
    <col width="17.33203125" bestFit="1" customWidth="1" style="13" min="80" max="80"/>
    <col width="18.77734375" bestFit="1" customWidth="1" style="13" min="81" max="81"/>
    <col width="16.5546875" bestFit="1" customWidth="1" style="13" min="82" max="82"/>
    <col width="35.6640625" bestFit="1" customWidth="1" style="13" min="83" max="83"/>
    <col width="16.5546875" bestFit="1" customWidth="1" style="13" min="84" max="85"/>
    <col width="17.109375" bestFit="1" customWidth="1" style="13" min="86" max="86"/>
    <col width="24.33203125" bestFit="1" customWidth="1" style="13" min="87" max="87"/>
    <col width="12.109375" bestFit="1" customWidth="1" style="13" min="88" max="92"/>
    <col width="8.6640625" customWidth="1" style="13" min="93" max="16384"/>
  </cols>
  <sheetData>
    <row r="1" ht="20.4" customHeight="1">
      <c r="R1" s="415" t="inlineStr">
        <is>
          <t>Navigation Tab</t>
        </is>
      </c>
      <c r="AH1" s="386" t="n"/>
      <c r="AI1" s="386" t="n"/>
      <c r="AJ1" s="386" t="n"/>
      <c r="AK1" s="386" t="n"/>
      <c r="AL1" s="386" t="n"/>
      <c r="AM1" s="386" t="n"/>
      <c r="AN1" s="386" t="n"/>
      <c r="AO1" s="386" t="n"/>
      <c r="AP1" s="386" t="n"/>
      <c r="AQ1" s="386" t="n"/>
      <c r="AR1" s="386" t="n"/>
      <c r="AS1" s="386" t="n"/>
      <c r="AT1" s="386" t="n"/>
      <c r="AU1" s="386" t="n"/>
      <c r="AV1" s="386" t="n"/>
      <c r="AW1" s="386" t="n"/>
      <c r="AX1" s="386" t="n"/>
      <c r="AY1" s="386" t="n"/>
      <c r="AZ1" s="386" t="n"/>
      <c r="BA1" s="386" t="n"/>
      <c r="BB1" s="386" t="n"/>
      <c r="BC1" s="386" t="n"/>
      <c r="BD1" s="386" t="n"/>
      <c r="BE1" s="386" t="n"/>
      <c r="BF1" s="386" t="n"/>
      <c r="BG1" s="386" t="n"/>
      <c r="BH1" s="386" t="n"/>
      <c r="BI1" s="386" t="n"/>
      <c r="BJ1" s="386" t="n"/>
      <c r="BK1" s="386" t="n"/>
      <c r="BL1" s="386" t="n"/>
      <c r="BM1" s="386" t="n"/>
      <c r="BN1" s="386" t="n"/>
      <c r="BO1" s="386" t="n"/>
      <c r="BP1" s="386" t="n"/>
      <c r="BQ1" s="386" t="n"/>
      <c r="BR1" s="386" t="n"/>
      <c r="BS1" s="386" t="n"/>
      <c r="BT1" s="386" t="n"/>
      <c r="BU1" s="386" t="n"/>
      <c r="BV1" s="386" t="n"/>
      <c r="BW1" s="386" t="n"/>
      <c r="BX1" s="386" t="n"/>
      <c r="BY1" s="386" t="n"/>
      <c r="BZ1" s="386" t="n"/>
      <c r="CA1" s="386" t="n"/>
      <c r="CB1" s="386" t="n"/>
    </row>
    <row r="2" ht="30" customHeight="1">
      <c r="C2" s="389" t="n"/>
      <c r="D2" s="435" t="inlineStr">
        <is>
          <t>🏢   COWORKING SPACE — PANJAM, GOA DASHBOARD</t>
        </is>
      </c>
      <c r="AJ2" s="403" t="n"/>
      <c r="AK2" s="403" t="n"/>
      <c r="AL2" s="386" t="n"/>
      <c r="AM2" s="386" t="n"/>
      <c r="AN2" s="386" t="n"/>
      <c r="AO2" s="386" t="n"/>
      <c r="AP2" s="386" t="n"/>
      <c r="AQ2" s="386" t="n"/>
      <c r="AR2" s="386" t="n"/>
      <c r="AS2" s="386" t="n"/>
      <c r="AT2" s="386" t="n"/>
      <c r="AU2" s="386" t="n"/>
      <c r="AV2" s="386" t="n"/>
      <c r="AW2" s="386" t="n"/>
      <c r="AX2" s="386" t="n"/>
      <c r="AY2" s="386" t="n"/>
      <c r="AZ2" s="386" t="n"/>
      <c r="BA2" s="386" t="n"/>
      <c r="BB2" s="386" t="n"/>
      <c r="BC2" s="386" t="n"/>
      <c r="BD2" s="386" t="n"/>
      <c r="BE2" s="386" t="n"/>
      <c r="BF2" s="386" t="n"/>
      <c r="BG2" s="386" t="n"/>
      <c r="BH2" s="386" t="n"/>
      <c r="BI2" s="386" t="n"/>
      <c r="BJ2" s="386" t="n"/>
      <c r="BK2" s="386" t="n"/>
      <c r="BL2" s="386" t="n"/>
      <c r="BM2" s="386" t="n"/>
      <c r="BN2" s="386" t="n"/>
      <c r="BO2" s="386" t="n"/>
      <c r="BP2" s="386" t="n"/>
      <c r="BQ2" s="386" t="n"/>
      <c r="BR2" s="386" t="n"/>
      <c r="BT2" s="386" t="n"/>
      <c r="BU2" s="386" t="n"/>
      <c r="BV2" s="386" t="n"/>
      <c r="BW2" s="386" t="n"/>
      <c r="BX2" s="386" t="n"/>
      <c r="BY2" s="386" t="n"/>
      <c r="BZ2" s="386" t="n"/>
      <c r="CA2" s="386" t="n"/>
      <c r="CB2" s="386" t="n"/>
      <c r="CC2" s="386" t="n"/>
      <c r="CD2" s="386" t="n"/>
      <c r="CE2" s="386" t="n"/>
      <c r="CF2" s="386" t="n"/>
      <c r="CG2" s="386" t="n"/>
      <c r="CH2" s="386" t="n"/>
    </row>
    <row r="3" ht="21" customHeight="1">
      <c r="C3" s="389" t="n"/>
      <c r="D3" s="389" t="n"/>
      <c r="E3" s="389" t="n"/>
      <c r="F3" s="389" t="n"/>
      <c r="G3" s="389" t="n"/>
      <c r="H3" s="389" t="n"/>
      <c r="I3" s="389" t="n"/>
      <c r="J3" s="389" t="n"/>
      <c r="K3" s="389" t="n"/>
      <c r="L3" s="389" t="n"/>
      <c r="M3" s="421" t="inlineStr">
        <is>
          <t>SCENARIO</t>
        </is>
      </c>
      <c r="N3" s="584" t="n"/>
      <c r="O3" s="404" t="n"/>
      <c r="P3" s="421" t="inlineStr">
        <is>
          <t>OCCUPANCY</t>
        </is>
      </c>
      <c r="Q3" s="584" t="n"/>
      <c r="R3" s="404" t="n"/>
      <c r="S3" s="421" t="inlineStr">
        <is>
          <t>SELECT YEAR</t>
        </is>
      </c>
      <c r="T3" s="584" t="n"/>
      <c r="U3" s="404" t="n"/>
      <c r="V3" s="421" t="inlineStr">
        <is>
          <t>TOTAL SEATS</t>
        </is>
      </c>
      <c r="W3" s="584" t="n"/>
      <c r="X3" s="404" t="n"/>
      <c r="Y3" s="421" t="inlineStr">
        <is>
          <t>PRICE / SEAT</t>
        </is>
      </c>
      <c r="Z3" s="584" t="n"/>
      <c r="AA3" s="584" t="n"/>
      <c r="AB3" s="389" t="n"/>
      <c r="AC3" s="389" t="n"/>
      <c r="AD3" s="389" t="n"/>
      <c r="AE3" s="389" t="n"/>
      <c r="AF3" s="389" t="n"/>
      <c r="AG3" s="389" t="n"/>
      <c r="AH3" s="389" t="n"/>
      <c r="AI3" s="389" t="n"/>
      <c r="AJ3" s="389" t="n"/>
      <c r="AK3" s="389" t="n"/>
      <c r="BT3" s="420" t="inlineStr">
        <is>
          <t>TABLE 1 — 5-YEAR P&amp;L</t>
        </is>
      </c>
      <c r="BU3" s="585" t="n"/>
      <c r="BV3" s="585" t="n"/>
      <c r="BW3" s="585" t="n"/>
      <c r="BX3" s="585" t="n"/>
      <c r="BY3" s="585" t="n"/>
      <c r="BZ3" s="586" t="n"/>
      <c r="CA3" s="386" t="n"/>
      <c r="CB3" s="420" t="inlineStr">
        <is>
          <t xml:space="preserve">REVENUE GROWTH TREND </t>
        </is>
      </c>
      <c r="CC3" s="585" t="n"/>
      <c r="CD3" s="585" t="n"/>
      <c r="CE3" s="585" t="n"/>
      <c r="CF3" s="585" t="n"/>
      <c r="CG3" s="585" t="n"/>
      <c r="CH3" s="586" t="n"/>
    </row>
    <row r="4" ht="21" customHeight="1">
      <c r="C4" s="389" t="n"/>
      <c r="D4" s="389" t="n"/>
      <c r="E4" s="389" t="n"/>
      <c r="F4" s="389" t="n"/>
      <c r="G4" s="389" t="n"/>
      <c r="H4" s="389" t="n"/>
      <c r="I4" s="389" t="n"/>
      <c r="J4" s="389" t="n"/>
      <c r="K4" s="389" t="n"/>
      <c r="L4" s="389" t="n"/>
      <c r="M4" s="423">
        <f>Input!C6</f>
        <v/>
      </c>
      <c r="N4" s="587" t="n"/>
      <c r="O4" s="404" t="n"/>
      <c r="P4" s="423">
        <f>TEXT(Input!C13,"0%")</f>
        <v/>
      </c>
      <c r="Q4" s="587" t="n"/>
      <c r="R4" s="404" t="n"/>
      <c r="S4" s="588" t="n">
        <v>1</v>
      </c>
      <c r="U4" s="404" t="n"/>
      <c r="V4" s="589">
        <f>Input!C10</f>
        <v/>
      </c>
      <c r="W4" s="587" t="n"/>
      <c r="X4" s="404" t="n"/>
      <c r="Y4" s="429">
        <f>Input!C14</f>
        <v/>
      </c>
      <c r="AB4" s="389" t="n"/>
      <c r="AC4" s="389" t="n"/>
      <c r="AD4" s="389" t="n"/>
      <c r="AE4" s="389" t="n"/>
      <c r="AF4" s="389" t="n"/>
      <c r="AG4" s="389" t="n"/>
      <c r="AH4" s="389" t="n"/>
      <c r="AI4" s="389" t="n"/>
      <c r="AJ4" s="389" t="n"/>
      <c r="AK4" s="389" t="n"/>
      <c r="BT4" s="386" t="n"/>
      <c r="BU4" s="9" t="inlineStr">
        <is>
          <t>Year 1</t>
        </is>
      </c>
      <c r="BV4" s="9" t="inlineStr">
        <is>
          <t>Year 2</t>
        </is>
      </c>
      <c r="BW4" s="9" t="inlineStr">
        <is>
          <t>Year 3</t>
        </is>
      </c>
      <c r="BX4" s="9" t="inlineStr">
        <is>
          <t>Year 4</t>
        </is>
      </c>
      <c r="BY4" s="9" t="inlineStr">
        <is>
          <t>Year 5</t>
        </is>
      </c>
      <c r="BZ4" s="386" t="n"/>
      <c r="CA4" s="386" t="n"/>
      <c r="CB4" s="386" t="inlineStr">
        <is>
          <t>Year</t>
        </is>
      </c>
      <c r="CC4" s="386" t="inlineStr">
        <is>
          <t>Year 1</t>
        </is>
      </c>
      <c r="CD4" s="386" t="inlineStr">
        <is>
          <t>Year 2</t>
        </is>
      </c>
      <c r="CE4" s="386" t="inlineStr">
        <is>
          <t>Year 3</t>
        </is>
      </c>
      <c r="CF4" s="386" t="inlineStr">
        <is>
          <t>Year 4</t>
        </is>
      </c>
      <c r="CG4" s="386" t="inlineStr">
        <is>
          <t>Year 5</t>
        </is>
      </c>
      <c r="CH4" s="386" t="n"/>
    </row>
    <row r="5" ht="21" customHeight="1">
      <c r="C5" s="389" t="n"/>
      <c r="D5" s="389" t="n"/>
      <c r="E5" s="389" t="n"/>
      <c r="F5" s="389" t="n"/>
      <c r="G5" s="389" t="n"/>
      <c r="H5" s="389" t="n"/>
      <c r="I5" s="389" t="n"/>
      <c r="J5" s="389" t="n"/>
      <c r="K5" s="389" t="n"/>
      <c r="L5" s="389" t="n"/>
      <c r="M5" s="431" t="inlineStr">
        <is>
          <t>📈  Performance Report — Owned Scenario  |  80% Occupancy  |  Year 1 of 5</t>
        </is>
      </c>
      <c r="AB5" s="389" t="n"/>
      <c r="AC5" s="389" t="n"/>
      <c r="AD5" s="389" t="n"/>
      <c r="AE5" s="389" t="n"/>
      <c r="AF5" s="389" t="n"/>
      <c r="AG5" s="389" t="n"/>
      <c r="AH5" s="389" t="n"/>
      <c r="AI5" s="389" t="n"/>
      <c r="AJ5" s="389" t="n"/>
      <c r="AK5" s="389" t="n"/>
      <c r="BT5" s="387" t="inlineStr">
        <is>
          <t>Gross Revenue</t>
        </is>
      </c>
      <c r="BU5" s="388">
        <f>'P&amp;L'!C8</f>
        <v/>
      </c>
      <c r="BV5" s="388">
        <f>'P&amp;L'!D8</f>
        <v/>
      </c>
      <c r="BW5" s="388">
        <f>'P&amp;L'!E8</f>
        <v/>
      </c>
      <c r="BX5" s="388">
        <f>'P&amp;L'!F8</f>
        <v/>
      </c>
      <c r="BY5" s="388">
        <f>'P&amp;L'!G8</f>
        <v/>
      </c>
      <c r="BZ5" s="386" t="n"/>
      <c r="CA5" s="386" t="n"/>
      <c r="CB5" s="386" t="inlineStr">
        <is>
          <t>Gross Revenue</t>
        </is>
      </c>
      <c r="CC5" s="386">
        <f>'P&amp;L'!C8</f>
        <v/>
      </c>
      <c r="CD5" s="386">
        <f>'P&amp;L'!D8</f>
        <v/>
      </c>
      <c r="CE5" s="386">
        <f>'P&amp;L'!E8</f>
        <v/>
      </c>
      <c r="CF5" s="386">
        <f>'P&amp;L'!F8</f>
        <v/>
      </c>
      <c r="CG5" s="386">
        <f>'P&amp;L'!G8</f>
        <v/>
      </c>
      <c r="CH5" s="386" t="n"/>
    </row>
    <row r="6" ht="15.6" customHeight="1">
      <c r="C6" s="389" t="n"/>
      <c r="D6" s="389" t="n"/>
      <c r="E6" s="389" t="n"/>
      <c r="F6" s="389" t="n"/>
      <c r="G6" s="389" t="n"/>
      <c r="H6" s="389" t="n"/>
      <c r="I6" s="389" t="n"/>
      <c r="J6" s="389" t="n"/>
      <c r="K6" s="389" t="n"/>
      <c r="L6" s="389" t="n"/>
      <c r="M6" s="434" t="inlineStr">
        <is>
          <t>⚠️  RENT PREFERRED: Rent EBITDA ₹21L vs Owned ₹-209L  |  BEP price = ₹32,839  |  Current price = ₹7,500</t>
        </is>
      </c>
      <c r="AB6" s="389" t="n"/>
      <c r="AC6" s="389" t="n"/>
      <c r="AD6" s="389" t="n"/>
      <c r="AE6" s="389" t="n"/>
      <c r="AF6" s="389" t="n"/>
      <c r="AG6" s="389" t="n"/>
      <c r="AH6" s="389" t="n"/>
      <c r="AI6" s="389" t="n"/>
      <c r="AJ6" s="389" t="n"/>
      <c r="AK6" s="389" t="n"/>
      <c r="BT6" s="387" t="inlineStr">
        <is>
          <t>Net Revenue</t>
        </is>
      </c>
      <c r="BU6" s="388">
        <f>'P&amp;L'!C10</f>
        <v/>
      </c>
      <c r="BV6" s="388">
        <f>'P&amp;L'!D10</f>
        <v/>
      </c>
      <c r="BW6" s="388">
        <f>'P&amp;L'!E10</f>
        <v/>
      </c>
      <c r="BX6" s="388">
        <f>'P&amp;L'!F10</f>
        <v/>
      </c>
      <c r="BY6" s="388">
        <f>'P&amp;L'!G10</f>
        <v/>
      </c>
      <c r="BZ6" s="386" t="n"/>
      <c r="CA6" s="386" t="n"/>
      <c r="CB6" s="386" t="inlineStr">
        <is>
          <t>Net Revenue</t>
        </is>
      </c>
      <c r="CC6" s="386">
        <f>'P&amp;L'!C10</f>
        <v/>
      </c>
      <c r="CD6" s="386">
        <f>'P&amp;L'!D10</f>
        <v/>
      </c>
      <c r="CE6" s="386">
        <f>'P&amp;L'!E10</f>
        <v/>
      </c>
      <c r="CF6" s="386">
        <f>'P&amp;L'!F10</f>
        <v/>
      </c>
      <c r="CG6" s="386">
        <f>'P&amp;L'!G10</f>
        <v/>
      </c>
      <c r="CH6" s="386" t="n"/>
    </row>
    <row r="7" ht="15.6" customHeight="1">
      <c r="C7" s="389" t="n"/>
      <c r="D7" s="389" t="n"/>
      <c r="E7" s="389" t="n"/>
      <c r="F7" s="389" t="n"/>
      <c r="G7" s="389" t="n"/>
      <c r="H7" s="389" t="n"/>
      <c r="I7" s="389" t="n"/>
      <c r="J7" s="389" t="n"/>
      <c r="K7" s="389" t="n"/>
      <c r="L7" s="389" t="n"/>
      <c r="AB7" s="389" t="n"/>
      <c r="AC7" s="389" t="n"/>
      <c r="AD7" s="389" t="n"/>
      <c r="AE7" s="389" t="n"/>
      <c r="AF7" s="389" t="n"/>
      <c r="AG7" s="389" t="n"/>
      <c r="AH7" s="389" t="n"/>
      <c r="AI7" s="389" t="n"/>
      <c r="AJ7" s="389" t="n"/>
      <c r="AK7" s="389" t="n"/>
      <c r="BT7" s="387" t="inlineStr">
        <is>
          <t>Total Cost</t>
        </is>
      </c>
      <c r="BU7" s="388">
        <f>'P&amp;L'!C13+'P&amp;L'!C24</f>
        <v/>
      </c>
      <c r="BV7" s="388">
        <f>'P&amp;L'!D13+'P&amp;L'!D24</f>
        <v/>
      </c>
      <c r="BW7" s="388">
        <f>'P&amp;L'!E13+'P&amp;L'!E24</f>
        <v/>
      </c>
      <c r="BX7" s="388">
        <f>'P&amp;L'!F13+'P&amp;L'!F24</f>
        <v/>
      </c>
      <c r="BY7" s="388">
        <f>'P&amp;L'!G13+'P&amp;L'!G24</f>
        <v/>
      </c>
      <c r="BZ7" s="386" t="n"/>
      <c r="CA7" s="386" t="n"/>
      <c r="CB7" s="386" t="n"/>
      <c r="CC7" s="386" t="n"/>
      <c r="CD7" s="386" t="n"/>
      <c r="CE7" s="386" t="n"/>
      <c r="CF7" s="386" t="n"/>
      <c r="CG7" s="386" t="n"/>
      <c r="CH7" s="386" t="n"/>
    </row>
    <row r="8" ht="23.4" customHeight="1" thickBot="1">
      <c r="C8" s="389" t="n"/>
      <c r="D8" s="389" t="n"/>
      <c r="E8" s="389" t="n"/>
      <c r="F8" s="389" t="n"/>
      <c r="G8" s="389" t="n"/>
      <c r="H8" s="389" t="n"/>
      <c r="I8" s="389" t="n"/>
      <c r="J8" s="389" t="n"/>
      <c r="K8" s="389" t="n"/>
      <c r="L8" s="389" t="n"/>
      <c r="M8" s="436" t="inlineStr">
        <is>
          <t>KPIs</t>
        </is>
      </c>
      <c r="AB8" s="389" t="n"/>
      <c r="AC8" s="389" t="n"/>
      <c r="AD8" s="389" t="n"/>
      <c r="AE8" s="389" t="n"/>
      <c r="AF8" s="389" t="n"/>
      <c r="AG8" s="389" t="n"/>
      <c r="AH8" s="389" t="n"/>
      <c r="AI8" s="389" t="n"/>
      <c r="AJ8" s="389" t="n"/>
      <c r="AK8" s="389" t="n"/>
      <c r="BT8" s="387" t="inlineStr">
        <is>
          <t>EBITDA</t>
        </is>
      </c>
      <c r="BU8" s="388">
        <f>'P&amp;L'!C26</f>
        <v/>
      </c>
      <c r="BV8" s="388">
        <f>'P&amp;L'!D26</f>
        <v/>
      </c>
      <c r="BW8" s="388">
        <f>'P&amp;L'!E26</f>
        <v/>
      </c>
      <c r="BX8" s="388">
        <f>'P&amp;L'!F26</f>
        <v/>
      </c>
      <c r="BY8" s="388">
        <f>'P&amp;L'!G26</f>
        <v/>
      </c>
      <c r="BZ8" s="386" t="n"/>
      <c r="CA8" s="386" t="n"/>
      <c r="CB8" s="386" t="n"/>
      <c r="CC8" s="386" t="n"/>
      <c r="CD8" s="386" t="n"/>
      <c r="CE8" s="386" t="n"/>
      <c r="CF8" s="386" t="n"/>
      <c r="CG8" s="386" t="n"/>
      <c r="CH8" s="386" t="n"/>
    </row>
    <row r="9" ht="17.4" customHeight="1">
      <c r="C9" s="389" t="n"/>
      <c r="D9" s="389" t="n"/>
      <c r="E9" s="389" t="n"/>
      <c r="F9" s="389" t="n"/>
      <c r="G9" s="389" t="n"/>
      <c r="H9" s="389" t="n"/>
      <c r="I9" s="389" t="n"/>
      <c r="J9" s="389" t="n"/>
      <c r="K9" s="389" t="n"/>
      <c r="L9" s="389" t="n"/>
      <c r="M9" s="389" t="n"/>
      <c r="N9" s="389" t="n"/>
      <c r="O9" s="442" t="inlineStr">
        <is>
          <t>GROSS REVENUE</t>
        </is>
      </c>
      <c r="Q9" s="406" t="n"/>
      <c r="R9" s="437" t="inlineStr">
        <is>
          <t>EBITDA</t>
        </is>
      </c>
      <c r="T9" s="406" t="n"/>
      <c r="U9" s="437" t="inlineStr">
        <is>
          <t>PAT  (Net Profit)</t>
        </is>
      </c>
      <c r="W9" s="406" t="n"/>
      <c r="X9" s="443" t="inlineStr">
        <is>
          <t>GROSS MARGIN %</t>
        </is>
      </c>
      <c r="Z9" s="389" t="n"/>
      <c r="AA9" s="389" t="n"/>
      <c r="AB9" s="389" t="n"/>
      <c r="AC9" s="389" t="n"/>
      <c r="AD9" s="389" t="n"/>
      <c r="AE9" s="389" t="n"/>
      <c r="AF9" s="389" t="n"/>
      <c r="AG9" s="389" t="n"/>
      <c r="AH9" s="389" t="n"/>
      <c r="AI9" s="389" t="n"/>
      <c r="AJ9" s="389" t="n"/>
      <c r="AK9" s="389" t="n"/>
      <c r="BT9" s="387" t="inlineStr">
        <is>
          <t>PBT</t>
        </is>
      </c>
      <c r="BU9" s="388">
        <f>'P&amp;L'!C41</f>
        <v/>
      </c>
      <c r="BV9" s="388">
        <f>'P&amp;L'!D41</f>
        <v/>
      </c>
      <c r="BW9" s="388">
        <f>'P&amp;L'!E41</f>
        <v/>
      </c>
      <c r="BX9" s="388">
        <f>'P&amp;L'!F41</f>
        <v/>
      </c>
      <c r="BY9" s="388">
        <f>'P&amp;L'!G41</f>
        <v/>
      </c>
      <c r="BZ9" s="386" t="n"/>
      <c r="CA9" s="386" t="inlineStr">
        <is>
          <t>Hot Desks</t>
        </is>
      </c>
      <c r="CB9" s="386">
        <f>'Revenue Model'!C7</f>
        <v/>
      </c>
      <c r="CC9" s="386" t="n"/>
      <c r="CD9" s="386" t="n"/>
      <c r="CE9" s="390" t="inlineStr">
        <is>
          <t xml:space="preserve">Price per Seat per month </t>
        </is>
      </c>
      <c r="CF9" s="391" t="inlineStr">
        <is>
          <t>BEP Seats</t>
        </is>
      </c>
    </row>
    <row r="10" ht="17.4" customHeight="1">
      <c r="C10" s="389" t="n"/>
      <c r="D10" s="389" t="n"/>
      <c r="E10" s="389" t="n"/>
      <c r="F10" s="389" t="n"/>
      <c r="G10" s="389" t="n"/>
      <c r="H10" s="389" t="n"/>
      <c r="I10" s="389" t="n"/>
      <c r="J10" s="389" t="n"/>
      <c r="K10" s="389" t="n"/>
      <c r="L10" s="389" t="n"/>
      <c r="M10" s="389" t="n"/>
      <c r="N10" s="389" t="n"/>
      <c r="O10" s="439">
        <f>INDEX('P&amp;L'!C8:G8,1,S4)</f>
        <v/>
      </c>
      <c r="Q10" s="406" t="n"/>
      <c r="R10" s="439">
        <f>INDEX('P&amp;L'!C26:G26,1,S4)</f>
        <v/>
      </c>
      <c r="T10" s="406" t="n"/>
      <c r="U10" s="439">
        <f>INDEX('P&amp;L'!C43:G43,1,S4)</f>
        <v/>
      </c>
      <c r="W10" s="406" t="n"/>
      <c r="X10" s="590">
        <f>INDEX('P&amp;L'!C15:G15,1,S4)</f>
        <v/>
      </c>
      <c r="Z10" s="591" t="n"/>
      <c r="AA10" s="389" t="n"/>
      <c r="AB10" s="389" t="n"/>
      <c r="AC10" s="389" t="n"/>
      <c r="AD10" s="389" t="n"/>
      <c r="AE10" s="389" t="n"/>
      <c r="AF10" s="389" t="n"/>
      <c r="AG10" s="389" t="n"/>
      <c r="AH10" s="389" t="n"/>
      <c r="AI10" s="389" t="n"/>
      <c r="AJ10" s="389" t="n"/>
      <c r="AK10" s="389" t="n"/>
      <c r="BT10" s="387" t="inlineStr">
        <is>
          <t>PAT</t>
        </is>
      </c>
      <c r="BU10" s="388">
        <f>'P&amp;L'!C43</f>
        <v/>
      </c>
      <c r="BV10" s="388">
        <f>'P&amp;L'!D43</f>
        <v/>
      </c>
      <c r="BW10" s="388">
        <f>'P&amp;L'!E43</f>
        <v/>
      </c>
      <c r="BX10" s="388">
        <f>'P&amp;L'!F43</f>
        <v/>
      </c>
      <c r="BY10" s="388">
        <f>'P&amp;L'!G43</f>
        <v/>
      </c>
      <c r="BZ10" s="386" t="n"/>
      <c r="CA10" s="386" t="inlineStr">
        <is>
          <t>Dedicated Desks</t>
        </is>
      </c>
      <c r="CB10" s="386">
        <f>'Revenue Model'!C8</f>
        <v/>
      </c>
      <c r="CD10" s="386" t="n"/>
      <c r="CE10" s="392">
        <f>'Break Even'!B40</f>
        <v/>
      </c>
      <c r="CF10" s="393">
        <f>'Break Even'!C40</f>
        <v/>
      </c>
      <c r="CH10" s="386" t="n"/>
    </row>
    <row r="11" ht="15.6" customHeight="1">
      <c r="C11" s="389" t="n"/>
      <c r="D11" s="389" t="n"/>
      <c r="E11" s="389" t="n"/>
      <c r="F11" s="389" t="n"/>
      <c r="G11" s="389" t="n"/>
      <c r="H11" s="389" t="n"/>
      <c r="I11" s="389" t="n"/>
      <c r="J11" s="389" t="n"/>
      <c r="K11" s="389" t="n"/>
      <c r="L11" s="389" t="n"/>
      <c r="M11" s="389" t="n"/>
      <c r="N11" s="389" t="n"/>
      <c r="O11" s="433" t="inlineStr">
        <is>
          <t>From P&amp;L · Year I8</t>
        </is>
      </c>
      <c r="Q11" s="389" t="n"/>
      <c r="R11" s="433" t="inlineStr">
        <is>
          <t>Before int &amp; dep</t>
        </is>
      </c>
      <c r="T11" s="389" t="n"/>
      <c r="U11" s="433" t="inlineStr">
        <is>
          <t>After tax · neg=loss</t>
        </is>
      </c>
      <c r="W11" s="389" t="n"/>
      <c r="X11" s="433" t="inlineStr">
        <is>
          <t>GP / Net Revenue</t>
        </is>
      </c>
      <c r="Z11" s="400" t="n"/>
      <c r="AA11" s="389" t="n"/>
      <c r="AB11" s="389" t="n"/>
      <c r="AC11" s="389" t="n"/>
      <c r="AD11" s="389" t="n"/>
      <c r="AE11" s="389" t="n"/>
      <c r="AF11" s="389" t="n"/>
      <c r="AG11" s="389" t="n"/>
      <c r="AH11" s="389" t="n"/>
      <c r="AI11" s="389" t="n"/>
      <c r="AJ11" s="389" t="n"/>
      <c r="AK11" s="389" t="n"/>
      <c r="BT11" s="386" t="n"/>
      <c r="BU11" s="386" t="n"/>
      <c r="BV11" s="386" t="n"/>
      <c r="BW11" s="386" t="n"/>
      <c r="BX11" s="386" t="n"/>
      <c r="BY11" s="386" t="n"/>
      <c r="BZ11" s="386" t="n"/>
      <c r="CA11" s="386" t="inlineStr">
        <is>
          <t>Private Cabins</t>
        </is>
      </c>
      <c r="CB11" s="386">
        <f>'Revenue Model'!C9</f>
        <v/>
      </c>
      <c r="CD11" s="386" t="n"/>
      <c r="CE11" s="392">
        <f>'Break Even'!B41</f>
        <v/>
      </c>
      <c r="CF11" s="393">
        <f>'Break Even'!C41</f>
        <v/>
      </c>
      <c r="CH11" s="386" t="n"/>
    </row>
    <row r="12" ht="15.6" customHeight="1">
      <c r="C12" s="389" t="n"/>
      <c r="D12" s="389" t="n"/>
      <c r="E12" s="389" t="n"/>
      <c r="F12" s="389" t="n"/>
      <c r="G12" s="389" t="n"/>
      <c r="H12" s="389" t="n"/>
      <c r="I12" s="389" t="n"/>
      <c r="J12" s="389" t="n"/>
      <c r="K12" s="389" t="n"/>
      <c r="L12" s="389" t="n"/>
      <c r="M12" s="389" t="n"/>
      <c r="N12" s="389" t="n"/>
      <c r="O12" s="389" t="n"/>
      <c r="P12" s="389" t="n"/>
      <c r="Q12" s="389" t="n"/>
      <c r="R12" s="389" t="n"/>
      <c r="S12" s="389" t="n"/>
      <c r="T12" s="389" t="n"/>
      <c r="U12" s="389" t="n"/>
      <c r="V12" s="389" t="n"/>
      <c r="W12" s="389" t="n"/>
      <c r="X12" s="389" t="n"/>
      <c r="Y12" s="389" t="n"/>
      <c r="Z12" s="389" t="n"/>
      <c r="AA12" s="389" t="n"/>
      <c r="AB12" s="389" t="n"/>
      <c r="AC12" s="389" t="n"/>
      <c r="AD12" s="389" t="n"/>
      <c r="AE12" s="389" t="n"/>
      <c r="AF12" s="389" t="n"/>
      <c r="AG12" s="389" t="n"/>
      <c r="AH12" s="389" t="n"/>
      <c r="AI12" s="389" t="n"/>
      <c r="AJ12" s="389" t="n"/>
      <c r="AK12" s="389" t="n"/>
      <c r="BS12" s="420" t="inlineStr">
        <is>
          <t>TABLE 2 — CASH FLOW</t>
        </is>
      </c>
      <c r="BT12" s="585" t="n"/>
      <c r="BU12" s="585" t="n"/>
      <c r="BV12" s="585" t="n"/>
      <c r="BW12" s="585" t="n"/>
      <c r="BX12" s="585" t="n"/>
      <c r="BY12" s="586" t="n"/>
      <c r="BZ12" s="386" t="n"/>
      <c r="CA12" s="386" t="inlineStr">
        <is>
          <t>Meeting Rooms</t>
        </is>
      </c>
      <c r="CB12" s="386">
        <f>'Revenue Model'!C10</f>
        <v/>
      </c>
      <c r="CC12" s="386" t="n"/>
      <c r="CD12" s="386" t="n"/>
      <c r="CE12" s="392">
        <f>'Break Even'!B42</f>
        <v/>
      </c>
      <c r="CF12" s="393">
        <f>'Break Even'!C42</f>
        <v/>
      </c>
      <c r="CG12" s="386" t="n"/>
    </row>
    <row r="13" ht="30.6" customHeight="1">
      <c r="C13" s="389" t="n"/>
      <c r="D13" s="389" t="n"/>
      <c r="E13" s="389" t="n"/>
      <c r="F13" s="389" t="n"/>
      <c r="G13" s="389" t="n"/>
      <c r="H13" s="389" t="n"/>
      <c r="I13" s="389" t="n"/>
      <c r="J13" s="389" t="n"/>
      <c r="K13" s="389" t="n"/>
      <c r="L13" s="389" t="n"/>
      <c r="M13" s="389" t="n"/>
      <c r="N13" s="389" t="n"/>
      <c r="O13" s="408">
        <f>"NPV  (7yr·WACC "&amp;TEXT(Input!C20,"0.0%")&amp;")"</f>
        <v/>
      </c>
      <c r="P13" s="408" t="n"/>
      <c r="Q13" s="406" t="n"/>
      <c r="R13" s="437" t="inlineStr">
        <is>
          <t>IRR</t>
        </is>
      </c>
      <c r="T13" s="406" t="n"/>
      <c r="U13" s="437" t="inlineStr">
        <is>
          <t>BEP OCCUPANCY</t>
        </is>
      </c>
      <c r="W13" s="406" t="n"/>
      <c r="X13" s="440" t="inlineStr">
        <is>
          <t>TOTAL CAPEX</t>
        </is>
      </c>
      <c r="Z13" s="389" t="n"/>
      <c r="AA13" s="389" t="n"/>
      <c r="AB13" s="389" t="n"/>
      <c r="AC13" s="389" t="n"/>
      <c r="AD13" s="389" t="n"/>
      <c r="AE13" s="389" t="n"/>
      <c r="AF13" s="389" t="n"/>
      <c r="AG13" s="389" t="n"/>
      <c r="AH13" s="389" t="n"/>
      <c r="AI13" s="389" t="n"/>
      <c r="AJ13" s="389" t="n"/>
      <c r="AK13" s="389" t="n"/>
      <c r="BS13" s="386" t="n"/>
      <c r="BU13" s="9" t="inlineStr">
        <is>
          <t>Year 1</t>
        </is>
      </c>
      <c r="BV13" s="9" t="inlineStr">
        <is>
          <t>Year 2</t>
        </is>
      </c>
      <c r="BW13" s="9" t="inlineStr">
        <is>
          <t>Year 3</t>
        </is>
      </c>
      <c r="BX13" s="9" t="inlineStr">
        <is>
          <t>Year 4</t>
        </is>
      </c>
      <c r="BY13" s="9" t="inlineStr">
        <is>
          <t>Year 5</t>
        </is>
      </c>
      <c r="BZ13" s="386" t="n"/>
      <c r="CA13" s="386" t="inlineStr">
        <is>
          <t>Virtual Office Memberships</t>
        </is>
      </c>
      <c r="CB13" s="386">
        <f>'Revenue Model'!C11</f>
        <v/>
      </c>
      <c r="CC13" s="386" t="n"/>
      <c r="CD13" s="386" t="n"/>
      <c r="CE13" s="392">
        <f>'Break Even'!B43</f>
        <v/>
      </c>
      <c r="CF13" s="393">
        <f>'Break Even'!C43</f>
        <v/>
      </c>
      <c r="CG13" s="386" t="n"/>
    </row>
    <row r="14" ht="30.6" customHeight="1">
      <c r="C14" s="389" t="n"/>
      <c r="D14" s="389" t="n"/>
      <c r="E14" s="389" t="n"/>
      <c r="F14" s="389" t="n"/>
      <c r="G14" s="389" t="n"/>
      <c r="H14" s="389" t="n"/>
      <c r="I14" s="389" t="n"/>
      <c r="J14" s="389" t="n"/>
      <c r="K14" s="389" t="n"/>
      <c r="L14" s="389" t="n"/>
      <c r="M14" s="389" t="n"/>
      <c r="N14" s="389" t="n"/>
      <c r="O14" s="439">
        <f>'Investment Appraisal'!C30</f>
        <v/>
      </c>
      <c r="Q14" s="406" t="n"/>
      <c r="R14" s="438">
        <f>'Investment Appraisal'!C31</f>
        <v/>
      </c>
      <c r="T14" s="406" t="n"/>
      <c r="U14" s="438">
        <f>TEXT('Break Even'!C28,"0%")</f>
        <v/>
      </c>
      <c r="W14" s="406" t="n"/>
      <c r="X14" s="439">
        <f>'Cost sheet'!C15</f>
        <v/>
      </c>
      <c r="Z14" s="401" t="n"/>
      <c r="AA14" s="389" t="n"/>
      <c r="AB14" s="389" t="n"/>
      <c r="AC14" s="389" t="n"/>
      <c r="AD14" s="389" t="n"/>
      <c r="AE14" s="389" t="n"/>
      <c r="AF14" s="389" t="n"/>
      <c r="AG14" s="389" t="n"/>
      <c r="AH14" s="389" t="n"/>
      <c r="AI14" s="389" t="n"/>
      <c r="AJ14" s="389" t="n"/>
      <c r="AK14" s="389" t="n"/>
      <c r="BT14" s="387" t="inlineStr">
        <is>
          <t>Net Cash Flow</t>
        </is>
      </c>
      <c r="BU14" s="388">
        <f>'Cash Budget'!O22</f>
        <v/>
      </c>
      <c r="BV14" s="388">
        <f>'Cash Budget'!C30</f>
        <v/>
      </c>
      <c r="BW14" s="388">
        <f>'Cash Budget'!D30</f>
        <v/>
      </c>
      <c r="BX14" s="388">
        <f>'Cash Budget'!E30</f>
        <v/>
      </c>
      <c r="BY14" s="388">
        <f>'Cash Budget'!F30</f>
        <v/>
      </c>
      <c r="BZ14" s="386" t="n"/>
      <c r="CA14" s="386" t="inlineStr">
        <is>
          <t>Events &amp; Workshops</t>
        </is>
      </c>
      <c r="CB14" s="386">
        <f>'Revenue Model'!C12</f>
        <v/>
      </c>
      <c r="CD14" s="386" t="n"/>
      <c r="CE14" s="392">
        <f>'Break Even'!B44</f>
        <v/>
      </c>
      <c r="CF14" s="393">
        <f>'Break Even'!C44</f>
        <v/>
      </c>
      <c r="CH14" s="386" t="n"/>
    </row>
    <row r="15" ht="30" customHeight="1">
      <c r="C15" s="389" t="n"/>
      <c r="D15" s="389" t="n"/>
      <c r="E15" s="389" t="n"/>
      <c r="F15" s="389" t="n"/>
      <c r="G15" s="389" t="n"/>
      <c r="H15" s="389" t="n"/>
      <c r="I15" s="389" t="n"/>
      <c r="J15" s="389" t="n"/>
      <c r="K15" s="389" t="n"/>
      <c r="L15" s="389" t="n"/>
      <c r="M15" s="389" t="n"/>
      <c r="N15" s="389" t="n"/>
      <c r="O15" s="433" t="inlineStr">
        <is>
          <t>&lt; 0 = destroys value</t>
        </is>
      </c>
      <c r="Q15" s="407" t="n"/>
      <c r="R15" s="433">
        <f>"vs WACC "&amp;TEXT(Input!C20,"0.0%")&amp;" hurdle"</f>
        <v/>
      </c>
      <c r="T15" s="407" t="n"/>
      <c r="U15" s="433" t="inlineStr">
        <is>
          <t>&gt;100% = unachievable</t>
        </is>
      </c>
      <c r="W15" s="407" t="n"/>
      <c r="X15" s="441" t="inlineStr">
        <is>
          <t>Owned ₹23.9Cr·Rent ₹1.6Cr</t>
        </is>
      </c>
      <c r="Z15" s="402" t="n"/>
      <c r="AA15" s="389" t="n"/>
      <c r="AB15" s="389" t="n"/>
      <c r="AC15" s="389" t="n"/>
      <c r="AD15" s="389" t="n"/>
      <c r="AE15" s="389" t="n"/>
      <c r="AF15" s="389" t="n"/>
      <c r="AG15" s="389" t="n"/>
      <c r="AH15" s="389" t="n"/>
      <c r="AI15" s="389" t="n"/>
      <c r="AJ15" s="389" t="n"/>
      <c r="AK15" s="389" t="n"/>
      <c r="BT15" s="394" t="inlineStr">
        <is>
          <t>Cumulative CF</t>
        </is>
      </c>
      <c r="BU15" s="395">
        <f>BU14</f>
        <v/>
      </c>
      <c r="BV15" s="395">
        <f>BU15+BV14</f>
        <v/>
      </c>
      <c r="BW15" s="395">
        <f>BV15+BW14</f>
        <v/>
      </c>
      <c r="BX15" s="395">
        <f>BW15+BX14</f>
        <v/>
      </c>
      <c r="BY15" s="395">
        <f>BX15+BY14</f>
        <v/>
      </c>
      <c r="BZ15" s="386" t="n"/>
      <c r="CA15" s="386" t="inlineStr">
        <is>
          <t>Workation Packages</t>
        </is>
      </c>
      <c r="CB15" s="386">
        <f>'Revenue Model'!C13</f>
        <v/>
      </c>
      <c r="CD15" s="386" t="n"/>
      <c r="CE15" s="392">
        <f>'Break Even'!B45</f>
        <v/>
      </c>
      <c r="CF15" s="393">
        <f>'Break Even'!C45</f>
        <v/>
      </c>
      <c r="CH15" s="386" t="n"/>
    </row>
    <row r="16">
      <c r="C16" s="389" t="n"/>
      <c r="D16" s="389" t="n"/>
      <c r="E16" s="389" t="n"/>
      <c r="F16" s="389" t="n"/>
      <c r="G16" s="389" t="n"/>
      <c r="H16" s="389" t="n"/>
      <c r="I16" s="389" t="n"/>
      <c r="J16" s="389" t="n"/>
      <c r="K16" s="389" t="n"/>
      <c r="L16" s="389" t="n"/>
      <c r="M16" s="389" t="n"/>
      <c r="N16" s="389" t="n"/>
      <c r="O16" s="389" t="n"/>
      <c r="P16" s="389" t="n"/>
      <c r="Q16" s="389" t="n"/>
      <c r="R16" s="389" t="n"/>
      <c r="S16" s="389" t="n"/>
      <c r="T16" s="389" t="n"/>
      <c r="U16" s="389" t="n"/>
      <c r="V16" s="389" t="n"/>
      <c r="W16" s="389" t="n"/>
      <c r="X16" s="389" t="n"/>
      <c r="Y16" s="389" t="n"/>
      <c r="Z16" s="389" t="n"/>
      <c r="AA16" s="389" t="n"/>
      <c r="AB16" s="389" t="n"/>
      <c r="AC16" s="389" t="n"/>
      <c r="AD16" s="389" t="n"/>
      <c r="AE16" s="389" t="n"/>
      <c r="AF16" s="389" t="n"/>
      <c r="AG16" s="389" t="n"/>
      <c r="AH16" s="389" t="n"/>
      <c r="AI16" s="389" t="n"/>
      <c r="AJ16" s="389" t="n"/>
      <c r="AK16" s="389" t="n"/>
      <c r="BT16" s="386" t="n"/>
      <c r="BU16" s="386" t="n"/>
      <c r="BV16" s="386" t="n"/>
      <c r="BW16" s="386" t="n"/>
      <c r="BX16" s="386" t="n"/>
      <c r="BY16" s="386" t="n"/>
      <c r="BZ16" s="386" t="n"/>
      <c r="CA16" s="386" t="n"/>
      <c r="CB16" s="386" t="n"/>
      <c r="CC16" s="386" t="n"/>
      <c r="CD16" s="386" t="n"/>
      <c r="CE16" s="392">
        <f>'Break Even'!B46</f>
        <v/>
      </c>
      <c r="CF16" s="393">
        <f>'Break Even'!C46</f>
        <v/>
      </c>
      <c r="CH16" s="386" t="n"/>
    </row>
    <row r="17" ht="15.6" customHeight="1">
      <c r="C17" s="389" t="n"/>
      <c r="D17" s="389" t="n"/>
      <c r="E17" s="389" t="n"/>
      <c r="F17" s="389" t="n"/>
      <c r="G17" s="389" t="n"/>
      <c r="H17" s="389" t="n"/>
      <c r="I17" s="389" t="n"/>
      <c r="J17" s="389" t="n"/>
      <c r="K17" s="389" t="n"/>
      <c r="L17" s="389" t="n"/>
      <c r="M17" s="419" t="n"/>
      <c r="Z17" s="419" t="n"/>
      <c r="AA17" s="389" t="n"/>
      <c r="AB17" s="389" t="n"/>
      <c r="AC17" s="389" t="n"/>
      <c r="AD17" s="389" t="n"/>
      <c r="AE17" s="389" t="n"/>
      <c r="AF17" s="389" t="n"/>
      <c r="AG17" s="389" t="n"/>
      <c r="AH17" s="389" t="n"/>
      <c r="AI17" s="389" t="n"/>
      <c r="AJ17" s="389" t="n"/>
      <c r="AK17" s="389" t="n"/>
      <c r="BT17" s="420" t="inlineStr">
        <is>
          <t>TABLE 3 — OCCUPANCY SENSITIVITY (Monthly EBITDA ₹)</t>
        </is>
      </c>
      <c r="BU17" s="585" t="n"/>
      <c r="BV17" s="585" t="n"/>
      <c r="BW17" s="585" t="n"/>
      <c r="BX17" s="585" t="n"/>
      <c r="BY17" s="585" t="n"/>
      <c r="BZ17" s="585" t="n"/>
      <c r="CA17" s="585" t="n"/>
      <c r="CB17" s="585" t="n"/>
      <c r="CC17" s="585" t="n"/>
      <c r="CD17" s="586" t="n"/>
      <c r="CE17" s="392">
        <f>'Break Even'!B47</f>
        <v/>
      </c>
      <c r="CF17" s="393">
        <f>'Break Even'!C47</f>
        <v/>
      </c>
      <c r="CH17" s="386" t="n"/>
    </row>
    <row r="18" ht="15.6" customHeight="1">
      <c r="C18" s="389" t="n"/>
      <c r="D18" s="389" t="n"/>
      <c r="E18" s="389" t="n"/>
      <c r="F18" s="389" t="n"/>
      <c r="G18" s="389" t="n"/>
      <c r="H18" s="389" t="n"/>
      <c r="I18" s="389" t="n"/>
      <c r="J18" s="389" t="n"/>
      <c r="K18" s="389" t="n"/>
      <c r="L18" s="389" t="n"/>
      <c r="M18" s="389" t="n"/>
      <c r="N18" s="389" t="n"/>
      <c r="O18" s="389" t="n"/>
      <c r="P18" s="389" t="n"/>
      <c r="Q18" s="389" t="n"/>
      <c r="R18" s="389" t="n"/>
      <c r="S18" s="389" t="n"/>
      <c r="T18" s="389" t="n"/>
      <c r="U18" s="389" t="n"/>
      <c r="V18" s="389" t="n"/>
      <c r="W18" s="389" t="n"/>
      <c r="X18" s="389" t="n"/>
      <c r="Y18" s="389" t="n"/>
      <c r="Z18" s="389" t="n"/>
      <c r="AA18" s="389" t="n"/>
      <c r="AB18" s="389" t="n"/>
      <c r="AC18" s="389" t="n"/>
      <c r="AD18" s="389" t="n"/>
      <c r="AE18" s="389" t="n"/>
      <c r="AF18" s="389" t="n"/>
      <c r="AG18" s="389" t="n"/>
      <c r="AH18" s="389" t="n"/>
      <c r="AI18" s="389" t="n"/>
      <c r="AJ18" s="389" t="n"/>
      <c r="AK18" s="389" t="n"/>
      <c r="BT18" s="387" t="inlineStr">
        <is>
          <t>Occ Level</t>
        </is>
      </c>
      <c r="BU18" s="9" t="inlineStr">
        <is>
          <t>20%</t>
        </is>
      </c>
      <c r="BV18" s="9" t="inlineStr">
        <is>
          <t>30%</t>
        </is>
      </c>
      <c r="BW18" s="9" t="inlineStr">
        <is>
          <t>40%</t>
        </is>
      </c>
      <c r="BX18" s="9" t="inlineStr">
        <is>
          <t>50%</t>
        </is>
      </c>
      <c r="BY18" s="9" t="inlineStr">
        <is>
          <t>60%</t>
        </is>
      </c>
      <c r="BZ18" s="9" t="inlineStr">
        <is>
          <t>70%</t>
        </is>
      </c>
      <c r="CA18" s="9" t="inlineStr">
        <is>
          <t>80%</t>
        </is>
      </c>
      <c r="CB18" s="9" t="inlineStr">
        <is>
          <t>90%</t>
        </is>
      </c>
      <c r="CC18" s="9" t="inlineStr">
        <is>
          <t>100%</t>
        </is>
      </c>
      <c r="CD18" s="386" t="n"/>
      <c r="CE18" s="392">
        <f>'Break Even'!B48</f>
        <v/>
      </c>
      <c r="CF18" s="393">
        <f>'Break Even'!C48</f>
        <v/>
      </c>
      <c r="CH18" s="386" t="n"/>
    </row>
    <row r="19" ht="16.2" customHeight="1" thickBot="1">
      <c r="C19" s="389" t="n"/>
      <c r="D19" s="389" t="n"/>
      <c r="E19" s="389" t="n"/>
      <c r="F19" s="389" t="n"/>
      <c r="G19" s="389" t="n"/>
      <c r="H19" s="389" t="n"/>
      <c r="I19" s="389" t="n"/>
      <c r="J19" s="389" t="n"/>
      <c r="K19" s="389" t="n"/>
      <c r="L19" s="389" t="n"/>
      <c r="M19" s="389" t="n"/>
      <c r="N19" s="389" t="n"/>
      <c r="O19" s="389" t="n"/>
      <c r="P19" s="389" t="n"/>
      <c r="Q19" s="389" t="n"/>
      <c r="R19" s="389" t="n"/>
      <c r="S19" s="389" t="n"/>
      <c r="T19" s="389" t="n"/>
      <c r="U19" s="389" t="n"/>
      <c r="V19" s="389" t="n"/>
      <c r="W19" s="389" t="n"/>
      <c r="X19" s="389" t="n"/>
      <c r="Y19" s="389" t="n"/>
      <c r="Z19" s="389" t="n"/>
      <c r="AA19" s="389" t="n"/>
      <c r="AB19" s="389" t="n"/>
      <c r="AC19" s="389" t="n"/>
      <c r="AD19" s="389" t="n"/>
      <c r="AE19" s="389" t="n"/>
      <c r="AF19" s="389" t="n"/>
      <c r="AG19" s="389" t="n"/>
      <c r="AH19" s="389" t="n"/>
      <c r="AI19" s="389" t="n"/>
      <c r="AJ19" s="389" t="n"/>
      <c r="AK19" s="389" t="n"/>
      <c r="BT19" s="387" t="inlineStr">
        <is>
          <t>Monthly EBITDA</t>
        </is>
      </c>
      <c r="BU19" s="388">
        <f>'Break Even'!E53</f>
        <v/>
      </c>
      <c r="BV19" s="388">
        <f>'Break Even'!E54</f>
        <v/>
      </c>
      <c r="BW19" s="388">
        <f>'Break Even'!E55</f>
        <v/>
      </c>
      <c r="BX19" s="388">
        <f>'Break Even'!E56</f>
        <v/>
      </c>
      <c r="BY19" s="388">
        <f>'Break Even'!E57</f>
        <v/>
      </c>
      <c r="BZ19" s="388">
        <f>'Break Even'!E58</f>
        <v/>
      </c>
      <c r="CA19" s="388">
        <f>'Break Even'!E59</f>
        <v/>
      </c>
      <c r="CB19" s="388">
        <f>'Break Even'!E60</f>
        <v/>
      </c>
      <c r="CC19" s="388">
        <f>'Break Even'!E61</f>
        <v/>
      </c>
      <c r="CD19" s="386" t="n"/>
      <c r="CE19" s="396">
        <f>'Break Even'!B49</f>
        <v/>
      </c>
      <c r="CF19" s="397">
        <f>'Break Even'!C49</f>
        <v/>
      </c>
      <c r="CH19" s="386" t="n"/>
    </row>
    <row r="20">
      <c r="C20" s="389" t="n"/>
      <c r="D20" s="389" t="n"/>
      <c r="E20" s="389" t="n"/>
      <c r="F20" s="389" t="n"/>
      <c r="G20" s="389" t="n"/>
      <c r="H20" s="389" t="n"/>
      <c r="I20" s="389" t="n"/>
      <c r="J20" s="389" t="n"/>
      <c r="K20" s="389" t="n"/>
      <c r="L20" s="389" t="n"/>
      <c r="M20" s="389" t="n"/>
      <c r="N20" s="389" t="n"/>
      <c r="O20" s="389" t="n"/>
      <c r="P20" s="389" t="n"/>
      <c r="Q20" s="389" t="n"/>
      <c r="R20" s="389" t="n"/>
      <c r="S20" s="389" t="n"/>
      <c r="T20" s="389" t="n"/>
      <c r="U20" s="389" t="n"/>
      <c r="V20" s="389" t="n"/>
      <c r="W20" s="389" t="n"/>
      <c r="X20" s="389" t="n"/>
      <c r="Y20" s="389" t="n"/>
      <c r="Z20" s="389" t="n"/>
      <c r="AA20" s="389" t="n"/>
      <c r="AB20" s="389" t="n"/>
      <c r="AC20" s="389" t="n"/>
      <c r="AD20" s="389" t="n"/>
      <c r="AE20" s="389" t="n"/>
      <c r="AF20" s="389" t="n"/>
      <c r="AG20" s="389" t="n"/>
      <c r="AH20" s="389" t="n"/>
      <c r="AI20" s="389" t="n"/>
      <c r="AJ20" s="389" t="n"/>
      <c r="AK20" s="389" t="n"/>
      <c r="BT20" s="386" t="n"/>
      <c r="BU20" s="386" t="inlineStr">
        <is>
          <t>Revenue Stream</t>
        </is>
      </c>
      <c r="BV20" s="386" t="inlineStr">
        <is>
          <t>Year 1</t>
        </is>
      </c>
      <c r="BW20" s="386" t="n"/>
      <c r="BX20" s="386" t="n"/>
      <c r="BY20" s="386" t="n"/>
      <c r="BZ20" s="386" t="n"/>
      <c r="CA20" s="386" t="n"/>
      <c r="CB20" s="386" t="n"/>
      <c r="CC20" s="386" t="n"/>
      <c r="CD20" s="386" t="n"/>
      <c r="CE20" s="386" t="n"/>
      <c r="CF20" s="386" t="n"/>
      <c r="CG20" s="386" t="n"/>
      <c r="CH20" s="386" t="n"/>
    </row>
    <row r="21" ht="15.6" customHeight="1">
      <c r="C21" s="389" t="n"/>
      <c r="D21" s="389" t="n"/>
      <c r="E21" s="389" t="n"/>
      <c r="F21" s="389" t="n"/>
      <c r="G21" s="389" t="n"/>
      <c r="H21" s="389" t="n"/>
      <c r="I21" s="389" t="n"/>
      <c r="J21" s="389" t="n"/>
      <c r="K21" s="389" t="n"/>
      <c r="L21" s="389" t="n"/>
      <c r="M21" s="389" t="n"/>
      <c r="N21" s="389" t="n"/>
      <c r="O21" s="389" t="n"/>
      <c r="P21" s="389" t="n"/>
      <c r="Q21" s="389" t="n"/>
      <c r="R21" s="389" t="n"/>
      <c r="S21" s="389" t="n"/>
      <c r="T21" s="389" t="n"/>
      <c r="U21" s="389" t="n"/>
      <c r="V21" s="389" t="n"/>
      <c r="W21" s="389" t="n"/>
      <c r="X21" s="389" t="n"/>
      <c r="Y21" s="389" t="n"/>
      <c r="Z21" s="389" t="n"/>
      <c r="AA21" s="389" t="n"/>
      <c r="AB21" s="389" t="n"/>
      <c r="AC21" s="389" t="n"/>
      <c r="AD21" s="389" t="n"/>
      <c r="AE21" s="389" t="n"/>
      <c r="AF21" s="389" t="n"/>
      <c r="AG21" s="389" t="n"/>
      <c r="AH21" s="389" t="n"/>
      <c r="AI21" s="389" t="n"/>
      <c r="AJ21" s="389" t="n"/>
      <c r="AK21" s="389" t="n"/>
      <c r="BT21" s="420" t="inlineStr">
        <is>
          <t>TABLE 4 — SCENARIO COMPARISON (₹ Crores)</t>
        </is>
      </c>
      <c r="BU21" s="585" t="n"/>
      <c r="BV21" s="585" t="n"/>
      <c r="BW21" s="585" t="n"/>
      <c r="BX21" s="585" t="n"/>
      <c r="BY21" s="585" t="n"/>
      <c r="BZ21" s="586" t="n"/>
      <c r="CA21" s="386" t="n"/>
      <c r="CB21" s="420" t="inlineStr">
        <is>
          <t>Fixed vs Variable Cost Table</t>
        </is>
      </c>
      <c r="CC21" s="585" t="n"/>
      <c r="CD21" s="585" t="n"/>
      <c r="CE21" s="585" t="n"/>
      <c r="CF21" s="585" t="n"/>
      <c r="CG21" s="585" t="n"/>
      <c r="CH21" s="586" t="n"/>
    </row>
    <row r="22" ht="15.6" customHeight="1">
      <c r="C22" s="389" t="n"/>
      <c r="D22" s="389" t="n"/>
      <c r="E22" s="389" t="n"/>
      <c r="F22" s="389" t="n"/>
      <c r="G22" s="389" t="n"/>
      <c r="H22" s="389" t="n"/>
      <c r="I22" s="389" t="n"/>
      <c r="J22" s="389" t="n"/>
      <c r="K22" s="389" t="n"/>
      <c r="L22" s="389" t="n"/>
      <c r="M22" s="389" t="n"/>
      <c r="N22" s="389" t="n"/>
      <c r="O22" s="389" t="n"/>
      <c r="P22" s="389" t="n"/>
      <c r="Q22" s="389" t="n"/>
      <c r="R22" s="389" t="n"/>
      <c r="S22" s="389" t="n"/>
      <c r="T22" s="389" t="n"/>
      <c r="U22" s="389" t="n"/>
      <c r="V22" s="389" t="n"/>
      <c r="W22" s="389" t="n"/>
      <c r="X22" s="389" t="n"/>
      <c r="Y22" s="389" t="n"/>
      <c r="Z22" s="389" t="n"/>
      <c r="AA22" s="389" t="n"/>
      <c r="AB22" s="389" t="n"/>
      <c r="AC22" s="389" t="n"/>
      <c r="AD22" s="389" t="n"/>
      <c r="AE22" s="389" t="n"/>
      <c r="AF22" s="389" t="n"/>
      <c r="AG22" s="389" t="n"/>
      <c r="AH22" s="389" t="n"/>
      <c r="AI22" s="389" t="n"/>
      <c r="AJ22" s="389" t="n"/>
      <c r="AK22" s="389" t="n"/>
      <c r="BT22" s="387" t="inlineStr">
        <is>
          <t>Scenario</t>
        </is>
      </c>
      <c r="BU22" s="9" t="inlineStr">
        <is>
          <t>Ann. EBITDA</t>
        </is>
      </c>
      <c r="BV22" s="9" t="inlineStr">
        <is>
          <t>Ann. PAT</t>
        </is>
      </c>
      <c r="BW22" s="9" t="inlineStr">
        <is>
          <t>Ann. Cost</t>
        </is>
      </c>
      <c r="BX22" s="386" t="n"/>
      <c r="BY22" s="386" t="n"/>
      <c r="BZ22" s="386" t="n"/>
      <c r="CA22" s="386" t="n"/>
      <c r="CB22" s="386" t="inlineStr">
        <is>
          <t>Year</t>
        </is>
      </c>
      <c r="CC22" s="386" t="inlineStr">
        <is>
          <t>Year 1</t>
        </is>
      </c>
      <c r="CD22" s="386" t="inlineStr">
        <is>
          <t>Year 2</t>
        </is>
      </c>
      <c r="CE22" s="386" t="inlineStr">
        <is>
          <t>Year 3</t>
        </is>
      </c>
      <c r="CF22" s="386" t="inlineStr">
        <is>
          <t>Year 4</t>
        </is>
      </c>
      <c r="CG22" s="386" t="inlineStr">
        <is>
          <t>Year 5</t>
        </is>
      </c>
      <c r="CH22" s="386" t="n"/>
    </row>
    <row r="23" ht="15.6" customHeight="1">
      <c r="C23" s="389" t="n"/>
      <c r="D23" s="389" t="n"/>
      <c r="E23" s="389" t="n"/>
      <c r="F23" s="389" t="n"/>
      <c r="G23" s="389" t="n"/>
      <c r="H23" s="389" t="n"/>
      <c r="I23" s="389" t="n"/>
      <c r="J23" s="389" t="n"/>
      <c r="K23" s="389" t="n"/>
      <c r="L23" s="389" t="n"/>
      <c r="M23" s="389" t="n"/>
      <c r="N23" s="389" t="n"/>
      <c r="O23" s="389" t="n"/>
      <c r="P23" s="389" t="n"/>
      <c r="Q23" s="389" t="n"/>
      <c r="R23" s="389" t="n"/>
      <c r="S23" s="389" t="n"/>
      <c r="T23" s="389" t="n"/>
      <c r="U23" s="389" t="n"/>
      <c r="V23" s="389" t="n"/>
      <c r="W23" s="389" t="n"/>
      <c r="X23" s="389" t="n"/>
      <c r="Y23" s="389" t="n"/>
      <c r="Z23" s="389" t="n"/>
      <c r="AA23" s="389" t="n"/>
      <c r="AB23" s="389" t="n"/>
      <c r="AC23" s="389" t="n"/>
      <c r="AD23" s="389" t="n"/>
      <c r="AE23" s="389" t="n"/>
      <c r="AF23" s="389" t="n"/>
      <c r="AG23" s="389" t="n"/>
      <c r="AH23" s="389" t="n"/>
      <c r="AI23" s="389" t="n"/>
      <c r="AJ23" s="389" t="n"/>
      <c r="AK23" s="389" t="n"/>
      <c r="BT23" s="387" t="inlineStr">
        <is>
          <t>Owned</t>
        </is>
      </c>
      <c r="BU23" s="592">
        <f>'P&amp;L'!C26/10000000</f>
        <v/>
      </c>
      <c r="BV23" s="592">
        <f>'P&amp;L'!C43/10000000</f>
        <v/>
      </c>
      <c r="BW23" s="592">
        <f>'Cost sheet'!C53*12/10000000</f>
        <v/>
      </c>
      <c r="BX23" s="386" t="n"/>
      <c r="BY23" s="386" t="n"/>
      <c r="BZ23" s="386" t="n"/>
      <c r="CA23" s="386" t="n"/>
      <c r="CB23" s="386" t="inlineStr">
        <is>
          <t>Fised cost</t>
        </is>
      </c>
      <c r="CC23" s="386">
        <f>'P&amp;L'!C24</f>
        <v/>
      </c>
      <c r="CD23" s="386">
        <f>'P&amp;L'!D24</f>
        <v/>
      </c>
      <c r="CE23" s="386">
        <f>'P&amp;L'!E24</f>
        <v/>
      </c>
      <c r="CF23" s="386">
        <f>'P&amp;L'!F24</f>
        <v/>
      </c>
      <c r="CG23" s="386">
        <f>'P&amp;L'!G24</f>
        <v/>
      </c>
      <c r="CH23" s="386" t="n"/>
    </row>
    <row r="24" ht="15.6" customHeight="1">
      <c r="C24" s="389" t="n"/>
      <c r="D24" s="389" t="n"/>
      <c r="E24" s="389" t="n"/>
      <c r="F24" s="389" t="n"/>
      <c r="G24" s="389" t="n"/>
      <c r="H24" s="389" t="n"/>
      <c r="I24" s="389" t="n"/>
      <c r="J24" s="389" t="n"/>
      <c r="K24" s="389" t="n"/>
      <c r="L24" s="389" t="n"/>
      <c r="M24" s="389" t="n"/>
      <c r="N24" s="389" t="n"/>
      <c r="O24" s="389" t="n"/>
      <c r="P24" s="389" t="n"/>
      <c r="Q24" s="389" t="n"/>
      <c r="R24" s="389" t="n"/>
      <c r="S24" s="389" t="n"/>
      <c r="T24" s="389" t="n"/>
      <c r="U24" s="389" t="n"/>
      <c r="V24" s="389" t="n"/>
      <c r="W24" s="389" t="n"/>
      <c r="X24" s="389" t="n"/>
      <c r="Y24" s="389" t="n"/>
      <c r="Z24" s="389" t="n"/>
      <c r="AA24" s="389" t="n"/>
      <c r="AB24" s="389" t="n"/>
      <c r="AC24" s="389" t="n"/>
      <c r="AD24" s="389" t="n"/>
      <c r="AE24" s="389" t="n"/>
      <c r="AF24" s="389" t="n"/>
      <c r="AG24" s="389" t="n"/>
      <c r="AH24" s="389" t="n"/>
      <c r="AI24" s="389" t="n"/>
      <c r="AJ24" s="389" t="n"/>
      <c r="AK24" s="389" t="n"/>
      <c r="BT24" s="387" t="inlineStr">
        <is>
          <t>Rent</t>
        </is>
      </c>
      <c r="BU24" s="592">
        <f>'Scenario '!D29/10000000</f>
        <v/>
      </c>
      <c r="BV24" s="592">
        <f>'Scenario '!D35/10000000</f>
        <v/>
      </c>
      <c r="BW24" s="592">
        <f>'Scenario '!D21*12/10000000</f>
        <v/>
      </c>
      <c r="BX24" s="386" t="n"/>
      <c r="BY24" s="386" t="n"/>
      <c r="BZ24" s="386" t="n"/>
      <c r="CA24" s="386" t="n"/>
      <c r="CB24" s="386" t="inlineStr">
        <is>
          <t>Variable Cost</t>
        </is>
      </c>
      <c r="CC24" s="386">
        <f>'P&amp;L'!C13</f>
        <v/>
      </c>
      <c r="CD24" s="386">
        <f>'P&amp;L'!D13</f>
        <v/>
      </c>
      <c r="CE24" s="386">
        <f>'P&amp;L'!E13</f>
        <v/>
      </c>
      <c r="CF24" s="386">
        <f>'P&amp;L'!F13</f>
        <v/>
      </c>
      <c r="CG24" s="386">
        <f>'P&amp;L'!G13</f>
        <v/>
      </c>
      <c r="CH24" s="386" t="n"/>
    </row>
    <row r="25" ht="15.6" customHeight="1" thickBot="1">
      <c r="C25" s="389" t="n"/>
      <c r="D25" s="389" t="n"/>
      <c r="E25" s="389" t="n"/>
      <c r="F25" s="389" t="n"/>
      <c r="G25" s="389" t="n"/>
      <c r="H25" s="389" t="n"/>
      <c r="I25" s="389" t="n"/>
      <c r="J25" s="389" t="n"/>
      <c r="K25" s="389" t="n"/>
      <c r="L25" s="389" t="n"/>
      <c r="M25" s="389" t="n"/>
      <c r="N25" s="389" t="n"/>
      <c r="O25" s="389" t="n"/>
      <c r="P25" s="389" t="n"/>
      <c r="Q25" s="389" t="n"/>
      <c r="R25" s="389" t="n"/>
      <c r="S25" s="389" t="n"/>
      <c r="T25" s="389" t="n"/>
      <c r="U25" s="389" t="n"/>
      <c r="V25" s="389" t="n"/>
      <c r="W25" s="389" t="n"/>
      <c r="X25" s="389" t="n"/>
      <c r="Y25" s="389" t="n"/>
      <c r="Z25" s="389" t="n"/>
      <c r="AA25" s="389" t="n"/>
      <c r="AB25" s="389" t="n"/>
      <c r="AC25" s="389" t="n"/>
      <c r="AD25" s="389" t="n"/>
      <c r="AE25" s="389" t="n"/>
      <c r="AF25" s="389" t="n"/>
      <c r="AG25" s="389" t="n"/>
      <c r="AH25" s="389" t="n"/>
      <c r="AI25" s="389" t="n"/>
      <c r="AJ25" s="389" t="n"/>
      <c r="AK25" s="389" t="n"/>
      <c r="BT25" s="386" t="n"/>
      <c r="BU25" s="386" t="n"/>
      <c r="BV25" s="386" t="n"/>
      <c r="BW25" s="386" t="n"/>
      <c r="BX25" s="386" t="n"/>
      <c r="BY25" s="386" t="n"/>
      <c r="BZ25" s="386" t="n"/>
      <c r="CA25" s="386" t="n"/>
      <c r="CB25" s="386" t="n"/>
      <c r="CC25" s="386" t="n"/>
      <c r="CD25" s="386" t="n"/>
      <c r="CE25" s="386" t="n"/>
      <c r="CF25" s="386" t="n"/>
      <c r="CG25" s="386" t="n"/>
      <c r="CH25" s="386" t="n"/>
    </row>
    <row r="26" ht="17.4" customHeight="1">
      <c r="C26" s="389" t="n"/>
      <c r="D26" s="389" t="n"/>
      <c r="E26" s="389" t="n"/>
      <c r="F26" s="389" t="n"/>
      <c r="G26" s="389" t="n"/>
      <c r="H26" s="389" t="n"/>
      <c r="I26" s="389" t="n"/>
      <c r="J26" s="389" t="n"/>
      <c r="K26" s="389" t="n"/>
      <c r="L26" s="389" t="n"/>
      <c r="M26" s="389" t="n"/>
      <c r="N26" s="389" t="n"/>
      <c r="O26" s="389" t="n"/>
      <c r="P26" s="389" t="n"/>
      <c r="Q26" s="389" t="n"/>
      <c r="R26" s="389" t="n"/>
      <c r="S26" s="389" t="n"/>
      <c r="T26" s="389" t="n"/>
      <c r="U26" s="389" t="n"/>
      <c r="V26" s="389" t="n"/>
      <c r="W26" s="389" t="n"/>
      <c r="X26" s="389" t="n"/>
      <c r="Y26" s="389" t="n"/>
      <c r="Z26" s="389" t="n"/>
      <c r="AA26" s="389" t="n"/>
      <c r="AB26" s="389" t="n"/>
      <c r="AC26" s="389" t="n"/>
      <c r="AD26" s="389" t="n"/>
      <c r="AE26" s="389" t="n"/>
      <c r="AF26" s="389" t="n"/>
      <c r="AG26" s="389" t="n"/>
      <c r="AH26" s="389" t="n"/>
      <c r="AI26" s="389" t="n"/>
      <c r="AJ26" s="389" t="n"/>
      <c r="AK26" s="389" t="n"/>
      <c r="BT26" s="420" t="inlineStr">
        <is>
          <t>TABLE 5 — ANNUAL COST STRUCTURE (₹)</t>
        </is>
      </c>
      <c r="BU26" s="585" t="n"/>
      <c r="BV26" s="585" t="n"/>
      <c r="BW26" s="585" t="n"/>
      <c r="BX26" s="585" t="n"/>
      <c r="BY26" s="585" t="n"/>
      <c r="BZ26" s="586" t="n"/>
      <c r="CA26" s="386" t="n"/>
      <c r="CB26" s="593" t="inlineStr">
        <is>
          <t>Net Cash Flow Trend Chart</t>
        </is>
      </c>
      <c r="CC26" s="594" t="n"/>
      <c r="CD26" s="594" t="n"/>
      <c r="CE26" s="594" t="n"/>
      <c r="CF26" s="594" t="n"/>
      <c r="CG26" s="594" t="n"/>
      <c r="CH26" s="595" t="n"/>
    </row>
    <row r="27" ht="15.6" customHeight="1">
      <c r="C27" s="389" t="n"/>
      <c r="D27" s="389" t="n"/>
      <c r="E27" s="389" t="n"/>
      <c r="F27" s="389" t="n"/>
      <c r="G27" s="389" t="n"/>
      <c r="H27" s="389" t="n"/>
      <c r="I27" s="389" t="n"/>
      <c r="J27" s="389" t="n"/>
      <c r="K27" s="389" t="n"/>
      <c r="L27" s="389" t="n"/>
      <c r="M27" s="389" t="n"/>
      <c r="N27" s="389" t="n"/>
      <c r="O27" s="389" t="n"/>
      <c r="P27" s="389" t="n"/>
      <c r="Q27" s="389" t="n"/>
      <c r="R27" s="389" t="n"/>
      <c r="S27" s="389" t="n"/>
      <c r="T27" s="389" t="n"/>
      <c r="U27" s="389" t="n"/>
      <c r="V27" s="389" t="n"/>
      <c r="W27" s="389" t="n"/>
      <c r="X27" s="389" t="n"/>
      <c r="Y27" s="389" t="n"/>
      <c r="Z27" s="389" t="n"/>
      <c r="AA27" s="389" t="n"/>
      <c r="AB27" s="389" t="n"/>
      <c r="AC27" s="389" t="n"/>
      <c r="AD27" s="389" t="n"/>
      <c r="AE27" s="389" t="n"/>
      <c r="AF27" s="389" t="n"/>
      <c r="AG27" s="389" t="n"/>
      <c r="AH27" s="389" t="n"/>
      <c r="AI27" s="389" t="n"/>
      <c r="AJ27" s="389" t="n"/>
      <c r="AK27" s="389" t="n"/>
      <c r="BT27" s="387" t="inlineStr">
        <is>
          <t>Category</t>
        </is>
      </c>
      <c r="BU27" s="9" t="inlineStr">
        <is>
          <t>EMI/Rent</t>
        </is>
      </c>
      <c r="BV27" s="9" t="inlineStr">
        <is>
          <t>Salaries</t>
        </is>
      </c>
      <c r="BW27" s="9" t="inlineStr">
        <is>
          <t>Utilities</t>
        </is>
      </c>
      <c r="BX27" s="9" t="inlineStr">
        <is>
          <t>Mktg &amp; Admin</t>
        </is>
      </c>
      <c r="BY27" s="9" t="inlineStr">
        <is>
          <t>Variable</t>
        </is>
      </c>
      <c r="BZ27" s="386" t="n"/>
      <c r="CA27" s="386" t="n"/>
      <c r="CB27" s="103" t="inlineStr">
        <is>
          <t>Year</t>
        </is>
      </c>
      <c r="CC27" s="420" t="inlineStr">
        <is>
          <t>Yr 0</t>
        </is>
      </c>
      <c r="CD27" s="420" t="inlineStr">
        <is>
          <t>Yr 1</t>
        </is>
      </c>
      <c r="CE27" s="420" t="inlineStr">
        <is>
          <t>Yr 2</t>
        </is>
      </c>
      <c r="CF27" s="420" t="inlineStr">
        <is>
          <t>Yr 3</t>
        </is>
      </c>
      <c r="CG27" s="420" t="inlineStr">
        <is>
          <t>Yr 4</t>
        </is>
      </c>
      <c r="CH27" s="104" t="inlineStr">
        <is>
          <t>Yr 5</t>
        </is>
      </c>
    </row>
    <row r="28" ht="16.2" customHeight="1" thickBot="1">
      <c r="C28" s="389" t="n"/>
      <c r="D28" s="389" t="n"/>
      <c r="E28" s="389" t="n"/>
      <c r="F28" s="389" t="n"/>
      <c r="G28" s="389" t="n"/>
      <c r="H28" s="389" t="n"/>
      <c r="I28" s="389" t="n"/>
      <c r="J28" s="389" t="n"/>
      <c r="K28" s="389" t="n"/>
      <c r="L28" s="389" t="n"/>
      <c r="M28" s="389" t="n"/>
      <c r="N28" s="389" t="n"/>
      <c r="O28" s="389" t="n"/>
      <c r="P28" s="389" t="n"/>
      <c r="Q28" s="389" t="n"/>
      <c r="R28" s="389" t="n"/>
      <c r="S28" s="389" t="n"/>
      <c r="T28" s="389" t="n"/>
      <c r="U28" s="389" t="n"/>
      <c r="V28" s="389" t="n"/>
      <c r="W28" s="389" t="n"/>
      <c r="X28" s="389" t="n"/>
      <c r="Y28" s="389" t="n"/>
      <c r="Z28" s="389" t="n"/>
      <c r="AA28" s="389" t="n"/>
      <c r="AB28" s="389" t="n"/>
      <c r="AC28" s="389" t="n"/>
      <c r="AD28" s="389" t="n"/>
      <c r="AE28" s="389" t="n"/>
      <c r="AF28" s="389" t="n"/>
      <c r="AG28" s="389" t="n"/>
      <c r="AH28" s="403" t="n"/>
      <c r="AI28" s="403" t="n"/>
      <c r="AJ28" s="403" t="n"/>
      <c r="AK28" s="403" t="n"/>
      <c r="AL28" s="386" t="n"/>
      <c r="AM28" s="386" t="n"/>
      <c r="AN28" s="386" t="n"/>
      <c r="AO28" s="386" t="n"/>
      <c r="AP28" s="386" t="n"/>
      <c r="AQ28" s="386" t="n"/>
      <c r="AR28" s="386" t="n"/>
      <c r="AS28" s="386" t="n"/>
      <c r="AT28" s="386" t="n"/>
      <c r="AU28" s="386" t="n"/>
      <c r="AV28" s="386" t="n"/>
      <c r="AW28" s="386" t="n"/>
      <c r="AX28" s="386" t="n"/>
      <c r="AY28" s="386" t="n"/>
      <c r="AZ28" s="386" t="n"/>
      <c r="BA28" s="386" t="n"/>
      <c r="BB28" s="386" t="n"/>
      <c r="BC28" s="386" t="n"/>
      <c r="BD28" s="386" t="n"/>
      <c r="BE28" s="386" t="n"/>
      <c r="BF28" s="386" t="n"/>
      <c r="BG28" s="386" t="n"/>
      <c r="BH28" s="386" t="n"/>
      <c r="BI28" s="386" t="n"/>
      <c r="BJ28" s="386" t="n"/>
      <c r="BK28" s="386" t="n"/>
      <c r="BL28" s="386" t="n"/>
      <c r="BM28" s="386" t="n"/>
      <c r="BN28" s="386" t="n"/>
      <c r="BO28" s="386" t="n"/>
      <c r="BP28" s="386" t="n"/>
      <c r="BQ28" s="386" t="n"/>
      <c r="BR28" s="386" t="n"/>
      <c r="BT28" s="387" t="inlineStr">
        <is>
          <t>Annual Cost</t>
        </is>
      </c>
      <c r="BU28" s="388">
        <f>'Cost sheet'!C20*12</f>
        <v/>
      </c>
      <c r="BV28" s="388">
        <f>('Cost sheet'!C21+'Cost sheet'!C22+'Cost sheet'!C23+'Cost sheet'!C24+'Cost sheet'!C25+'Cost sheet'!C26)*12</f>
        <v/>
      </c>
      <c r="BW28" s="388">
        <f>('Cost sheet'!C27+'Cost sheet'!C28+'Cost sheet'!C29)*12</f>
        <v/>
      </c>
      <c r="BX28" s="388">
        <f>('Cost sheet'!C30+'Cost sheet'!C31+'Cost sheet'!C32+'Cost sheet'!C33)*12</f>
        <v/>
      </c>
      <c r="BY28" s="388">
        <f>'Cost sheet'!C49*'Cost sheet'!C43*12</f>
        <v/>
      </c>
      <c r="BZ28" s="386" t="n"/>
      <c r="CA28" s="386" t="n"/>
      <c r="CB28" s="48" t="inlineStr">
        <is>
          <t xml:space="preserve">Net Cash Flow </t>
        </is>
      </c>
      <c r="CC28" s="263">
        <f>'Investment Appraisal'!C19</f>
        <v/>
      </c>
      <c r="CD28" s="263">
        <f>'Investment Appraisal'!D19</f>
        <v/>
      </c>
      <c r="CE28" s="263">
        <f>'Investment Appraisal'!E19</f>
        <v/>
      </c>
      <c r="CF28" s="263">
        <f>'Investment Appraisal'!F19</f>
        <v/>
      </c>
      <c r="CG28" s="263">
        <f>'Investment Appraisal'!G19</f>
        <v/>
      </c>
      <c r="CH28" s="263">
        <f>'Investment Appraisal'!H19</f>
        <v/>
      </c>
    </row>
    <row r="29">
      <c r="C29" s="389" t="n"/>
      <c r="D29" s="389" t="n"/>
      <c r="E29" s="389" t="n"/>
      <c r="F29" s="389" t="n"/>
      <c r="G29" s="389" t="n"/>
      <c r="H29" s="389" t="n"/>
      <c r="I29" s="389" t="n"/>
      <c r="J29" s="389" t="n"/>
      <c r="K29" s="389" t="n"/>
      <c r="L29" s="389" t="n"/>
      <c r="M29" s="389" t="n"/>
      <c r="N29" s="389" t="n"/>
      <c r="O29" s="389" t="n"/>
      <c r="P29" s="389" t="n"/>
      <c r="Q29" s="389" t="n"/>
      <c r="R29" s="389" t="n"/>
      <c r="S29" s="389" t="n"/>
      <c r="T29" s="389" t="n"/>
      <c r="U29" s="389" t="n"/>
      <c r="V29" s="389" t="n"/>
      <c r="W29" s="389" t="n"/>
      <c r="X29" s="389" t="n"/>
      <c r="Y29" s="389" t="n"/>
      <c r="Z29" s="389" t="n"/>
      <c r="AA29" s="389" t="n"/>
      <c r="AB29" s="389" t="n"/>
      <c r="AC29" s="389" t="n"/>
      <c r="AD29" s="389" t="n"/>
      <c r="AE29" s="389" t="n"/>
      <c r="AF29" s="389" t="n"/>
      <c r="AG29" s="389" t="n"/>
      <c r="AH29" s="403" t="n"/>
      <c r="AI29" s="403" t="n"/>
      <c r="AJ29" s="403" t="n"/>
      <c r="AK29" s="403" t="n"/>
      <c r="AL29" s="386" t="n"/>
      <c r="AM29" s="386" t="n"/>
      <c r="AN29" s="386" t="n"/>
      <c r="AO29" s="386" t="n"/>
      <c r="AP29" s="386" t="n"/>
      <c r="AQ29" s="386" t="n"/>
      <c r="AR29" s="386" t="n"/>
      <c r="AS29" s="386" t="n"/>
      <c r="AT29" s="386" t="n"/>
      <c r="AU29" s="386" t="n"/>
      <c r="AV29" s="386" t="n"/>
      <c r="AW29" s="386" t="n"/>
      <c r="AX29" s="386" t="n"/>
      <c r="AY29" s="386" t="n"/>
      <c r="AZ29" s="386" t="n"/>
      <c r="BA29" s="386" t="n"/>
      <c r="BB29" s="386" t="n"/>
      <c r="BC29" s="386" t="n"/>
      <c r="BD29" s="386" t="n"/>
      <c r="BE29" s="386" t="n"/>
      <c r="BF29" s="386" t="n"/>
      <c r="BG29" s="386" t="n"/>
      <c r="BH29" s="386" t="n"/>
      <c r="BI29" s="386" t="n"/>
      <c r="BJ29" s="386" t="n"/>
      <c r="BK29" s="386" t="n"/>
      <c r="BL29" s="386" t="n"/>
      <c r="BM29" s="386" t="n"/>
      <c r="BN29" s="386" t="n"/>
      <c r="BO29" s="386" t="n"/>
      <c r="BP29" s="386" t="n"/>
      <c r="BQ29" s="386" t="n"/>
      <c r="BR29" s="386" t="n"/>
      <c r="BT29" s="386" t="n"/>
      <c r="BU29" s="386" t="n"/>
      <c r="BV29" s="386" t="n"/>
      <c r="BW29" s="386" t="n"/>
      <c r="BX29" s="386" t="n"/>
      <c r="BY29" s="386" t="n"/>
      <c r="BZ29" s="386" t="n"/>
      <c r="CA29" s="386" t="n"/>
      <c r="CB29" s="386" t="n"/>
      <c r="CC29" s="386" t="n"/>
      <c r="CD29" s="386" t="n"/>
      <c r="CE29" s="386" t="n"/>
      <c r="CF29" s="386" t="n"/>
      <c r="CG29" s="386" t="n"/>
      <c r="CH29" s="386" t="n"/>
    </row>
    <row r="30">
      <c r="C30" s="389" t="n"/>
      <c r="D30" s="389" t="n"/>
      <c r="E30" s="389" t="n"/>
      <c r="F30" s="389" t="n"/>
      <c r="G30" s="389" t="n"/>
      <c r="H30" s="389" t="n"/>
      <c r="I30" s="389" t="n"/>
      <c r="J30" s="389" t="n"/>
      <c r="K30" s="389" t="n"/>
      <c r="L30" s="389" t="n"/>
      <c r="M30" s="389" t="n"/>
      <c r="N30" s="389" t="n"/>
      <c r="O30" s="389" t="n"/>
      <c r="P30" s="389" t="n"/>
      <c r="Q30" s="389" t="n"/>
      <c r="R30" s="389" t="n"/>
      <c r="S30" s="389" t="n"/>
      <c r="T30" s="389" t="n"/>
      <c r="U30" s="389" t="n"/>
      <c r="V30" s="389" t="n"/>
      <c r="W30" s="389" t="n"/>
      <c r="X30" s="389" t="n"/>
      <c r="Y30" s="389" t="n"/>
      <c r="Z30" s="389" t="n"/>
      <c r="AA30" s="389" t="n"/>
      <c r="AB30" s="389" t="n"/>
      <c r="AC30" s="389" t="n"/>
      <c r="AD30" s="389" t="n"/>
      <c r="AE30" s="389" t="n"/>
      <c r="AF30" s="389" t="n"/>
      <c r="AG30" s="389" t="n"/>
      <c r="AH30" s="403" t="n"/>
      <c r="AI30" s="403" t="n"/>
      <c r="AJ30" s="403" t="n"/>
      <c r="AK30" s="403" t="n"/>
      <c r="AL30" s="386" t="n"/>
      <c r="AM30" s="386" t="n"/>
      <c r="AN30" s="386" t="n"/>
      <c r="AO30" s="386" t="n"/>
      <c r="AP30" s="386" t="n"/>
      <c r="AQ30" s="386" t="n"/>
      <c r="AR30" s="386" t="n"/>
      <c r="AS30" s="386" t="n"/>
      <c r="AT30" s="386" t="n"/>
      <c r="AU30" s="386" t="n"/>
      <c r="AV30" s="386" t="n"/>
      <c r="AW30" s="386" t="n"/>
      <c r="AX30" s="386" t="n"/>
      <c r="AY30" s="386" t="n"/>
      <c r="AZ30" s="386" t="n"/>
      <c r="BA30" s="386" t="n"/>
      <c r="BB30" s="386" t="n"/>
      <c r="BC30" s="386" t="n"/>
      <c r="BD30" s="386" t="n"/>
      <c r="BE30" s="386" t="n"/>
      <c r="BF30" s="386" t="n"/>
      <c r="BG30" s="386" t="n"/>
      <c r="BH30" s="386" t="n"/>
      <c r="BI30" s="386" t="n"/>
      <c r="BJ30" s="386" t="n"/>
      <c r="BK30" s="386" t="n"/>
      <c r="BL30" s="386" t="n"/>
      <c r="BM30" s="386" t="n"/>
      <c r="BN30" s="386" t="n"/>
      <c r="BO30" s="386" t="n"/>
      <c r="BP30" s="386" t="n"/>
      <c r="BQ30" s="386" t="n"/>
      <c r="BR30" s="386" t="n"/>
      <c r="BS30" s="386" t="n"/>
      <c r="BT30" s="386" t="n"/>
      <c r="BU30" s="386" t="n"/>
      <c r="BV30" s="386" t="n"/>
      <c r="BW30" s="386" t="n"/>
      <c r="BX30" s="386" t="n"/>
      <c r="BY30" s="386" t="n"/>
      <c r="BZ30" s="386" t="n"/>
      <c r="CA30" s="386" t="n"/>
      <c r="CB30" s="386" t="n"/>
    </row>
    <row r="31">
      <c r="C31" s="389" t="n"/>
      <c r="D31" s="389" t="n"/>
      <c r="E31" s="389" t="n"/>
      <c r="F31" s="389" t="n"/>
      <c r="G31" s="389" t="n"/>
      <c r="H31" s="389" t="n"/>
      <c r="I31" s="389" t="n"/>
      <c r="J31" s="389" t="n"/>
      <c r="K31" s="389" t="n"/>
      <c r="L31" s="389" t="n"/>
      <c r="M31" s="389" t="n"/>
      <c r="N31" s="389" t="n"/>
      <c r="O31" s="389" t="n"/>
      <c r="P31" s="389" t="n"/>
      <c r="Q31" s="389" t="n"/>
      <c r="R31" s="389" t="n"/>
      <c r="S31" s="389" t="n"/>
      <c r="T31" s="389" t="n"/>
      <c r="U31" s="389" t="n"/>
      <c r="V31" s="389" t="n"/>
      <c r="W31" s="389" t="n"/>
      <c r="X31" s="389" t="n"/>
      <c r="Y31" s="389" t="n"/>
      <c r="Z31" s="389" t="n"/>
      <c r="AA31" s="389" t="n"/>
      <c r="AB31" s="389" t="n"/>
      <c r="AC31" s="389" t="n"/>
      <c r="AD31" s="389" t="n"/>
      <c r="AE31" s="389" t="n"/>
      <c r="AF31" s="389" t="n"/>
      <c r="AG31" s="389" t="n"/>
      <c r="AH31" s="389" t="n"/>
      <c r="AI31" s="389" t="n"/>
      <c r="AJ31" s="403" t="n"/>
      <c r="AK31" s="403" t="n"/>
      <c r="AL31" s="386" t="n"/>
      <c r="AM31" s="386" t="n"/>
      <c r="AN31" s="386" t="n"/>
      <c r="AO31" s="386" t="n"/>
      <c r="AP31" s="386" t="n"/>
      <c r="AQ31" s="386" t="n"/>
      <c r="AR31" s="386" t="n"/>
      <c r="AS31" s="386" t="n"/>
      <c r="AT31" s="386" t="n"/>
      <c r="AU31" s="386" t="n"/>
      <c r="AV31" s="386" t="n"/>
      <c r="AW31" s="386" t="n"/>
      <c r="AX31" s="386" t="n"/>
      <c r="AY31" s="386" t="n"/>
      <c r="AZ31" s="386" t="n"/>
      <c r="BA31" s="386" t="n"/>
      <c r="BB31" s="386" t="n"/>
      <c r="BC31" s="386" t="n"/>
      <c r="BD31" s="386" t="n"/>
      <c r="BE31" s="386" t="n"/>
      <c r="BF31" s="386" t="n"/>
      <c r="BG31" s="386" t="n"/>
      <c r="BH31" s="386" t="n"/>
      <c r="BI31" s="386" t="n"/>
      <c r="BJ31" s="386" t="n"/>
      <c r="BK31" s="386" t="n"/>
      <c r="BL31" s="386" t="n"/>
      <c r="BM31" s="386" t="n"/>
      <c r="BN31" s="386" t="n"/>
      <c r="BO31" s="386" t="n"/>
      <c r="BP31" s="386" t="n"/>
      <c r="BQ31" s="386" t="n"/>
      <c r="BR31" s="386" t="n"/>
      <c r="BS31" s="386" t="n"/>
      <c r="BT31" s="386" t="n"/>
      <c r="BU31" s="386" t="n"/>
      <c r="BV31" s="386" t="n"/>
      <c r="BW31" s="386" t="n"/>
      <c r="BX31" s="386" t="n"/>
      <c r="BY31" s="386" t="n"/>
      <c r="BZ31" s="386" t="n"/>
      <c r="CA31" s="386" t="n"/>
      <c r="CB31" s="386" t="n"/>
      <c r="CC31" s="386" t="n"/>
      <c r="CD31" s="386" t="n"/>
    </row>
    <row r="32">
      <c r="C32" s="389" t="n"/>
      <c r="D32" s="389" t="n"/>
      <c r="E32" s="389" t="n"/>
      <c r="F32" s="389" t="n"/>
      <c r="G32" s="389" t="n"/>
      <c r="H32" s="389" t="n"/>
      <c r="I32" s="389" t="n"/>
      <c r="J32" s="389" t="n"/>
      <c r="K32" s="389" t="n"/>
      <c r="L32" s="389" t="n"/>
      <c r="M32" s="389" t="n"/>
      <c r="N32" s="389" t="n"/>
      <c r="O32" s="389" t="n"/>
      <c r="P32" s="389" t="n"/>
      <c r="Q32" s="389" t="n"/>
      <c r="R32" s="389" t="n"/>
      <c r="S32" s="389" t="n"/>
      <c r="T32" s="389" t="n"/>
      <c r="U32" s="389" t="n"/>
      <c r="V32" s="389" t="n"/>
      <c r="W32" s="389" t="n"/>
      <c r="X32" s="389" t="n"/>
      <c r="Y32" s="389" t="n"/>
      <c r="Z32" s="389" t="n"/>
      <c r="AA32" s="389" t="n"/>
      <c r="AB32" s="389" t="n"/>
      <c r="AC32" s="389" t="n"/>
      <c r="AD32" s="389" t="n"/>
      <c r="AE32" s="389" t="n"/>
      <c r="AF32" s="389" t="n"/>
      <c r="AG32" s="389" t="n"/>
      <c r="AH32" s="389" t="n"/>
      <c r="AI32" s="389" t="n"/>
      <c r="AJ32" s="389" t="n"/>
      <c r="AK32" s="389" t="n"/>
    </row>
    <row r="33">
      <c r="C33" s="389" t="n"/>
      <c r="D33" s="389" t="n"/>
      <c r="E33" s="389" t="n"/>
      <c r="F33" s="389" t="n"/>
      <c r="G33" s="389" t="n"/>
      <c r="H33" s="389" t="n"/>
      <c r="I33" s="389" t="n"/>
      <c r="J33" s="389" t="n"/>
      <c r="K33" s="389" t="n"/>
      <c r="L33" s="389" t="n"/>
      <c r="M33" s="389" t="n"/>
      <c r="N33" s="389" t="n"/>
      <c r="O33" s="389" t="n"/>
      <c r="P33" s="389" t="n"/>
      <c r="Q33" s="389" t="n"/>
      <c r="R33" s="389" t="n"/>
      <c r="S33" s="389" t="n"/>
      <c r="T33" s="389" t="n"/>
      <c r="U33" s="389" t="n"/>
      <c r="V33" s="389" t="n"/>
      <c r="W33" s="389" t="n"/>
      <c r="X33" s="389" t="n"/>
      <c r="Y33" s="389" t="n"/>
      <c r="Z33" s="389" t="n"/>
      <c r="AA33" s="389" t="n"/>
      <c r="AB33" s="389" t="n"/>
      <c r="AC33" s="389" t="n"/>
      <c r="AD33" s="389" t="n"/>
      <c r="AE33" s="389" t="n"/>
      <c r="AF33" s="389" t="n"/>
      <c r="AG33" s="389" t="n"/>
      <c r="AH33" s="389" t="n"/>
      <c r="AI33" s="389" t="n"/>
      <c r="AJ33" s="389" t="n"/>
      <c r="AK33" s="389" t="n"/>
    </row>
    <row r="34">
      <c r="C34" s="389" t="n"/>
      <c r="D34" s="389" t="n"/>
      <c r="E34" s="389" t="n"/>
      <c r="F34" s="389" t="n"/>
      <c r="G34" s="389" t="n"/>
      <c r="H34" s="389" t="n"/>
      <c r="I34" s="389" t="n"/>
      <c r="J34" s="389" t="n"/>
      <c r="K34" s="389" t="n"/>
      <c r="L34" s="389" t="n"/>
      <c r="M34" s="389" t="n"/>
      <c r="N34" s="389" t="n"/>
      <c r="O34" s="389" t="n"/>
      <c r="P34" s="389" t="n"/>
      <c r="Q34" s="389" t="n"/>
      <c r="R34" s="389" t="n"/>
      <c r="S34" s="389" t="n"/>
      <c r="T34" s="389" t="n"/>
      <c r="U34" s="389" t="n"/>
      <c r="V34" s="389" t="n"/>
      <c r="W34" s="389" t="n"/>
      <c r="X34" s="389" t="n"/>
      <c r="Y34" s="389" t="n"/>
      <c r="Z34" s="389" t="n"/>
      <c r="AA34" s="389" t="n"/>
      <c r="AB34" s="389" t="n"/>
      <c r="AC34" s="389" t="n"/>
      <c r="AD34" s="389" t="n"/>
      <c r="AE34" s="389" t="n"/>
      <c r="AF34" s="389" t="n"/>
      <c r="AG34" s="389" t="n"/>
      <c r="AH34" s="389" t="n"/>
      <c r="AI34" s="389" t="n"/>
      <c r="AJ34" s="389" t="n"/>
      <c r="AK34" s="389" t="n"/>
    </row>
    <row r="35">
      <c r="C35" s="389" t="n"/>
      <c r="D35" s="389" t="n"/>
      <c r="E35" s="389" t="n"/>
      <c r="F35" s="389" t="n"/>
      <c r="G35" s="389" t="n"/>
      <c r="H35" s="389" t="n"/>
      <c r="I35" s="389" t="n"/>
      <c r="J35" s="389" t="n"/>
      <c r="K35" s="389" t="n"/>
      <c r="L35" s="389" t="n"/>
      <c r="M35" s="389" t="n"/>
      <c r="N35" s="389" t="n"/>
      <c r="O35" s="389" t="n"/>
      <c r="P35" s="389" t="n"/>
      <c r="Q35" s="389" t="n"/>
      <c r="R35" s="389" t="n"/>
      <c r="S35" s="389" t="n"/>
      <c r="T35" s="389" t="n"/>
      <c r="U35" s="389" t="n"/>
      <c r="V35" s="389" t="n"/>
      <c r="W35" s="389" t="n"/>
      <c r="X35" s="389" t="n"/>
      <c r="Y35" s="389" t="n"/>
      <c r="Z35" s="389" t="n"/>
      <c r="AA35" s="389" t="n"/>
      <c r="AB35" s="389" t="n"/>
      <c r="AC35" s="389" t="n"/>
      <c r="AD35" s="389" t="n"/>
      <c r="AE35" s="389" t="n"/>
      <c r="AF35" s="389" t="n"/>
      <c r="AG35" s="389" t="n"/>
      <c r="AH35" s="389" t="n"/>
      <c r="AI35" s="389" t="n"/>
      <c r="AJ35" s="389" t="n"/>
      <c r="AK35" s="389" t="n"/>
    </row>
    <row r="36">
      <c r="C36" s="389" t="n"/>
      <c r="D36" s="389" t="n"/>
      <c r="E36" s="389" t="n"/>
      <c r="F36" s="389" t="n"/>
      <c r="G36" s="389" t="n"/>
      <c r="H36" s="389" t="n"/>
      <c r="I36" s="389" t="n"/>
      <c r="J36" s="389" t="n"/>
      <c r="K36" s="389" t="n"/>
      <c r="L36" s="389" t="n"/>
      <c r="M36" s="389" t="n"/>
      <c r="N36" s="389" t="n"/>
      <c r="O36" s="389" t="n"/>
      <c r="P36" s="389" t="n"/>
      <c r="Q36" s="389" t="n"/>
      <c r="R36" s="389" t="n"/>
      <c r="S36" s="389" t="n"/>
      <c r="T36" s="389" t="n"/>
      <c r="U36" s="389" t="n"/>
      <c r="V36" s="389" t="n"/>
      <c r="W36" s="389" t="n"/>
      <c r="X36" s="389" t="n"/>
      <c r="Y36" s="389" t="n"/>
      <c r="Z36" s="389" t="n"/>
      <c r="AA36" s="389" t="n"/>
      <c r="AB36" s="389" t="n"/>
      <c r="AC36" s="389" t="n"/>
      <c r="AD36" s="389" t="n"/>
      <c r="AE36" s="389" t="n"/>
      <c r="AF36" s="389" t="n"/>
      <c r="AG36" s="389" t="n"/>
      <c r="AH36" s="389" t="n"/>
      <c r="AI36" s="389" t="n"/>
      <c r="AJ36" s="389" t="n"/>
      <c r="AK36" s="389" t="n"/>
    </row>
    <row r="37">
      <c r="C37" s="389" t="n"/>
      <c r="D37" s="389" t="n"/>
      <c r="E37" s="389" t="n"/>
      <c r="F37" s="389" t="n"/>
      <c r="G37" s="389" t="n"/>
      <c r="H37" s="389" t="n"/>
      <c r="I37" s="389" t="n"/>
      <c r="J37" s="389" t="n"/>
      <c r="K37" s="389" t="n"/>
      <c r="L37" s="389" t="n"/>
      <c r="M37" s="389" t="n"/>
      <c r="N37" s="389" t="n"/>
      <c r="O37" s="389" t="n"/>
      <c r="P37" s="389" t="n"/>
      <c r="Q37" s="389" t="n"/>
      <c r="R37" s="389" t="n"/>
      <c r="S37" s="389" t="n"/>
      <c r="T37" s="389" t="n"/>
      <c r="U37" s="389" t="n"/>
      <c r="V37" s="389" t="n"/>
      <c r="W37" s="389" t="n"/>
      <c r="X37" s="389" t="n"/>
      <c r="Y37" s="389" t="n"/>
      <c r="Z37" s="389" t="n"/>
      <c r="AA37" s="389" t="n"/>
      <c r="AB37" s="389" t="n"/>
      <c r="AC37" s="389" t="n"/>
      <c r="AD37" s="389" t="n"/>
      <c r="AE37" s="389" t="n"/>
      <c r="AF37" s="389" t="n"/>
      <c r="AG37" s="389" t="n"/>
      <c r="AH37" s="389" t="n"/>
      <c r="AI37" s="389" t="n"/>
      <c r="AJ37" s="389" t="n"/>
      <c r="AK37" s="389" t="n"/>
    </row>
    <row r="38">
      <c r="C38" s="389" t="n"/>
      <c r="D38" s="389" t="n"/>
      <c r="E38" s="389" t="n"/>
      <c r="F38" s="389" t="n"/>
      <c r="G38" s="389" t="n"/>
      <c r="H38" s="389" t="n"/>
      <c r="I38" s="389" t="n"/>
      <c r="J38" s="389" t="n"/>
      <c r="K38" s="389" t="n"/>
      <c r="L38" s="389" t="n"/>
      <c r="M38" s="389" t="n"/>
      <c r="N38" s="389" t="n"/>
      <c r="O38" s="389" t="n"/>
      <c r="P38" s="389" t="n"/>
      <c r="Q38" s="389" t="n"/>
      <c r="R38" s="389" t="n"/>
      <c r="S38" s="389" t="n"/>
      <c r="T38" s="389" t="n"/>
      <c r="U38" s="389" t="n"/>
      <c r="V38" s="389" t="n"/>
      <c r="W38" s="389" t="n"/>
      <c r="X38" s="389" t="n"/>
      <c r="Y38" s="389" t="n"/>
      <c r="Z38" s="389" t="n"/>
      <c r="AA38" s="389" t="n"/>
      <c r="AB38" s="389" t="n"/>
      <c r="AC38" s="389" t="n"/>
      <c r="AD38" s="389" t="n"/>
      <c r="AE38" s="389" t="n"/>
      <c r="AF38" s="389" t="n"/>
      <c r="AG38" s="389" t="n"/>
      <c r="AH38" s="389" t="n"/>
      <c r="AI38" s="389" t="n"/>
      <c r="AJ38" s="389" t="n"/>
      <c r="AK38" s="389" t="n"/>
    </row>
    <row r="39">
      <c r="C39" s="389" t="n"/>
      <c r="D39" s="389" t="n"/>
      <c r="E39" s="389" t="n"/>
      <c r="F39" s="389" t="n"/>
      <c r="G39" s="389" t="n"/>
      <c r="H39" s="389" t="n"/>
      <c r="I39" s="389" t="n"/>
      <c r="J39" s="389" t="n"/>
      <c r="K39" s="389" t="n"/>
      <c r="L39" s="389" t="n"/>
      <c r="M39" s="389" t="n"/>
      <c r="N39" s="389" t="n"/>
      <c r="O39" s="389" t="n"/>
      <c r="P39" s="389" t="n"/>
      <c r="Q39" s="389" t="n"/>
      <c r="R39" s="389" t="n"/>
      <c r="S39" s="389" t="n"/>
      <c r="T39" s="389" t="n"/>
      <c r="U39" s="389" t="n"/>
      <c r="V39" s="389" t="n"/>
      <c r="W39" s="389" t="n"/>
      <c r="X39" s="389" t="n"/>
      <c r="Y39" s="389" t="n"/>
      <c r="Z39" s="389" t="n"/>
      <c r="AA39" s="389" t="n"/>
      <c r="AB39" s="389" t="n"/>
      <c r="AC39" s="389" t="n"/>
      <c r="AD39" s="389" t="n"/>
      <c r="AE39" s="389" t="n"/>
      <c r="AF39" s="389" t="n"/>
      <c r="AG39" s="389" t="n"/>
      <c r="AH39" s="389" t="n"/>
      <c r="AI39" s="389" t="n"/>
      <c r="AJ39" s="389" t="n"/>
      <c r="AK39" s="389" t="n"/>
    </row>
    <row r="40">
      <c r="C40" s="389" t="n"/>
      <c r="D40" s="389" t="n"/>
      <c r="E40" s="389" t="n"/>
      <c r="F40" s="389" t="n"/>
      <c r="G40" s="389" t="n"/>
      <c r="H40" s="389" t="n"/>
      <c r="I40" s="389" t="n"/>
      <c r="J40" s="389" t="n"/>
      <c r="K40" s="389" t="n"/>
      <c r="L40" s="389" t="n"/>
      <c r="M40" s="389" t="n"/>
      <c r="N40" s="389" t="n"/>
      <c r="O40" s="389" t="n"/>
      <c r="P40" s="389" t="n"/>
      <c r="Q40" s="389" t="n"/>
      <c r="R40" s="389" t="n"/>
      <c r="S40" s="389" t="n"/>
      <c r="T40" s="389" t="n"/>
      <c r="U40" s="389" t="n"/>
      <c r="V40" s="389" t="n"/>
      <c r="W40" s="389" t="n"/>
      <c r="X40" s="389" t="n"/>
      <c r="Y40" s="389" t="n"/>
      <c r="Z40" s="389" t="n"/>
      <c r="AA40" s="389" t="n"/>
      <c r="AB40" s="389" t="n"/>
      <c r="AC40" s="389" t="n"/>
      <c r="AD40" s="389" t="n"/>
      <c r="AE40" s="389" t="n"/>
      <c r="AF40" s="389" t="n"/>
      <c r="AG40" s="389" t="n"/>
      <c r="AH40" s="389" t="n"/>
      <c r="AI40" s="389" t="n"/>
      <c r="AJ40" s="389" t="n"/>
      <c r="AK40" s="389" t="n"/>
    </row>
    <row r="41">
      <c r="C41" s="389" t="n"/>
      <c r="D41" s="389" t="n"/>
      <c r="E41" s="389" t="n"/>
      <c r="F41" s="389" t="n"/>
      <c r="G41" s="389" t="n"/>
      <c r="H41" s="389" t="n"/>
      <c r="I41" s="389" t="n"/>
      <c r="J41" s="389" t="n"/>
      <c r="K41" s="389" t="n"/>
      <c r="L41" s="389" t="n"/>
      <c r="M41" s="389" t="n"/>
      <c r="N41" s="389" t="n"/>
      <c r="O41" s="389" t="n"/>
      <c r="P41" s="389" t="n"/>
      <c r="Q41" s="389" t="n"/>
      <c r="R41" s="389" t="n"/>
      <c r="S41" s="389" t="n"/>
      <c r="T41" s="389" t="n"/>
      <c r="U41" s="389" t="n"/>
      <c r="V41" s="389" t="n"/>
      <c r="W41" s="389" t="n"/>
      <c r="X41" s="389" t="n"/>
      <c r="Y41" s="389" t="n"/>
      <c r="Z41" s="389" t="n"/>
      <c r="AA41" s="389" t="n"/>
      <c r="AB41" s="389" t="n"/>
      <c r="AC41" s="389" t="n"/>
      <c r="AD41" s="389" t="n"/>
      <c r="AE41" s="389" t="n"/>
      <c r="AF41" s="389" t="n"/>
      <c r="AG41" s="389" t="n"/>
      <c r="AH41" s="389" t="n"/>
      <c r="AI41" s="389" t="n"/>
      <c r="AJ41" s="389" t="n"/>
      <c r="AK41" s="389" t="n"/>
    </row>
    <row r="42">
      <c r="C42" s="389" t="n"/>
      <c r="D42" s="389" t="n"/>
      <c r="E42" s="389" t="n"/>
      <c r="F42" s="389" t="n"/>
      <c r="G42" s="389" t="n"/>
      <c r="H42" s="389" t="n"/>
      <c r="I42" s="389" t="n"/>
      <c r="J42" s="389" t="n"/>
      <c r="K42" s="389" t="n"/>
      <c r="L42" s="389" t="n"/>
      <c r="M42" s="389" t="n"/>
      <c r="N42" s="389" t="n"/>
      <c r="O42" s="389" t="n"/>
      <c r="P42" s="389" t="n"/>
      <c r="Q42" s="389" t="n"/>
      <c r="R42" s="389" t="n"/>
      <c r="S42" s="389" t="n"/>
      <c r="T42" s="389" t="n"/>
      <c r="U42" s="389" t="n"/>
      <c r="V42" s="389" t="n"/>
      <c r="W42" s="389" t="n"/>
      <c r="X42" s="389" t="n"/>
      <c r="Y42" s="389" t="n"/>
      <c r="Z42" s="389" t="n"/>
      <c r="AA42" s="389" t="n"/>
      <c r="AB42" s="389" t="n"/>
      <c r="AC42" s="389" t="n"/>
      <c r="AD42" s="389" t="n"/>
      <c r="AE42" s="389" t="n"/>
      <c r="AF42" s="389" t="n"/>
      <c r="AG42" s="389" t="n"/>
      <c r="AH42" s="389" t="n"/>
      <c r="AI42" s="389" t="n"/>
      <c r="AJ42" s="389" t="n"/>
      <c r="AK42" s="389" t="n"/>
    </row>
    <row r="43">
      <c r="C43" s="389" t="n"/>
      <c r="D43" s="389" t="n"/>
      <c r="E43" s="389" t="n"/>
      <c r="F43" s="389" t="n"/>
      <c r="G43" s="389" t="n"/>
      <c r="H43" s="389" t="n"/>
      <c r="I43" s="389" t="n"/>
      <c r="J43" s="389" t="n"/>
      <c r="K43" s="389" t="n"/>
      <c r="L43" s="389" t="n"/>
      <c r="M43" s="389" t="n"/>
      <c r="N43" s="389" t="n"/>
      <c r="O43" s="389" t="n"/>
      <c r="P43" s="389" t="n"/>
      <c r="Q43" s="389" t="n"/>
      <c r="R43" s="389" t="n"/>
      <c r="S43" s="389" t="n"/>
      <c r="T43" s="389" t="n"/>
      <c r="U43" s="389" t="n"/>
      <c r="V43" s="389" t="n"/>
      <c r="W43" s="389" t="n"/>
      <c r="X43" s="389" t="n"/>
      <c r="Y43" s="389" t="n"/>
      <c r="Z43" s="389" t="n"/>
      <c r="AA43" s="389" t="n"/>
      <c r="AB43" s="389" t="n"/>
      <c r="AC43" s="389" t="n"/>
      <c r="AD43" s="389" t="n"/>
      <c r="AE43" s="389" t="n"/>
      <c r="AF43" s="389" t="n"/>
      <c r="AG43" s="389" t="n"/>
      <c r="AH43" s="389" t="n"/>
      <c r="AI43" s="389" t="n"/>
      <c r="AJ43" s="389" t="n"/>
      <c r="AK43" s="389" t="n"/>
    </row>
    <row r="44">
      <c r="C44" s="389" t="n"/>
      <c r="D44" s="389" t="n"/>
      <c r="E44" s="389" t="n"/>
      <c r="F44" s="389" t="n"/>
      <c r="G44" s="389" t="n"/>
      <c r="H44" s="389" t="n"/>
      <c r="I44" s="389" t="n"/>
      <c r="J44" s="389" t="n"/>
      <c r="K44" s="389" t="n"/>
      <c r="L44" s="389" t="n"/>
      <c r="M44" s="389" t="n"/>
      <c r="N44" s="389" t="n"/>
      <c r="O44" s="389" t="n"/>
      <c r="P44" s="389" t="n"/>
      <c r="Q44" s="389" t="n"/>
      <c r="R44" s="389" t="n"/>
      <c r="S44" s="389" t="n"/>
      <c r="T44" s="389" t="n"/>
      <c r="U44" s="389" t="n"/>
      <c r="V44" s="389" t="n"/>
      <c r="W44" s="389" t="n"/>
      <c r="X44" s="389" t="n"/>
      <c r="Y44" s="389" t="n"/>
      <c r="Z44" s="389" t="n"/>
      <c r="AA44" s="389" t="n"/>
      <c r="AB44" s="389" t="n"/>
      <c r="AC44" s="389" t="n"/>
      <c r="AD44" s="389" t="n"/>
      <c r="AE44" s="389" t="n"/>
      <c r="AF44" s="389" t="n"/>
      <c r="AG44" s="389" t="n"/>
      <c r="AH44" s="389" t="n"/>
      <c r="AI44" s="389" t="n"/>
      <c r="AJ44" s="389" t="n"/>
      <c r="AK44" s="389" t="n"/>
    </row>
    <row r="45">
      <c r="C45" s="389" t="n"/>
      <c r="D45" s="389" t="n"/>
      <c r="E45" s="389" t="n"/>
      <c r="F45" s="389" t="n"/>
      <c r="G45" s="389" t="n"/>
      <c r="H45" s="389" t="n"/>
      <c r="I45" s="389" t="n"/>
      <c r="J45" s="389" t="n"/>
      <c r="K45" s="389" t="n"/>
      <c r="L45" s="389" t="n"/>
      <c r="M45" s="389" t="n"/>
      <c r="N45" s="389" t="n"/>
      <c r="O45" s="389" t="n"/>
      <c r="P45" s="389" t="n"/>
      <c r="Q45" s="389" t="n"/>
      <c r="R45" s="389" t="n"/>
      <c r="S45" s="389" t="n"/>
      <c r="T45" s="389" t="n"/>
      <c r="U45" s="389" t="n"/>
      <c r="V45" s="389" t="n"/>
      <c r="W45" s="389" t="n"/>
      <c r="X45" s="389" t="n"/>
      <c r="Y45" s="389" t="n"/>
      <c r="Z45" s="389" t="n"/>
      <c r="AA45" s="389" t="n"/>
      <c r="AB45" s="389" t="n"/>
      <c r="AC45" s="389" t="n"/>
      <c r="AD45" s="389" t="n"/>
      <c r="AE45" s="389" t="n"/>
      <c r="AF45" s="389" t="n"/>
      <c r="AG45" s="389" t="n"/>
      <c r="AH45" s="389" t="n"/>
      <c r="AI45" s="389" t="n"/>
      <c r="AJ45" s="389" t="n"/>
      <c r="AK45" s="389" t="n"/>
    </row>
    <row r="46">
      <c r="C46" s="389" t="n"/>
      <c r="D46" s="389" t="n"/>
      <c r="E46" s="389" t="n"/>
      <c r="F46" s="389" t="n"/>
      <c r="G46" s="389" t="n"/>
      <c r="H46" s="389" t="n"/>
      <c r="I46" s="389" t="n"/>
      <c r="J46" s="389" t="n"/>
      <c r="K46" s="389" t="n"/>
      <c r="L46" s="389" t="n"/>
      <c r="M46" s="389" t="n"/>
      <c r="N46" s="389" t="n"/>
      <c r="O46" s="389" t="n"/>
      <c r="P46" s="389" t="n"/>
      <c r="Q46" s="389" t="n"/>
      <c r="R46" s="389" t="n"/>
      <c r="S46" s="389" t="n"/>
      <c r="T46" s="389" t="n"/>
      <c r="U46" s="389" t="n"/>
      <c r="V46" s="389" t="n"/>
      <c r="W46" s="389" t="n"/>
      <c r="X46" s="389" t="n"/>
      <c r="Y46" s="389" t="n"/>
      <c r="Z46" s="389" t="n"/>
      <c r="AA46" s="389" t="n"/>
      <c r="AB46" s="389" t="n"/>
      <c r="AC46" s="389" t="n"/>
      <c r="AD46" s="389" t="n"/>
      <c r="AE46" s="389" t="n"/>
      <c r="AF46" s="389" t="n"/>
      <c r="AG46" s="389" t="n"/>
      <c r="AH46" s="389" t="n"/>
      <c r="AI46" s="389" t="n"/>
      <c r="AJ46" s="389" t="n"/>
      <c r="AK46" s="389" t="n"/>
    </row>
    <row r="47">
      <c r="C47" s="389" t="n"/>
      <c r="D47" s="389" t="n"/>
      <c r="E47" s="389" t="n"/>
      <c r="F47" s="389" t="n"/>
      <c r="G47" s="389" t="n"/>
      <c r="H47" s="389" t="n"/>
      <c r="I47" s="389" t="n"/>
      <c r="J47" s="389" t="n"/>
      <c r="K47" s="389" t="n"/>
      <c r="L47" s="389" t="n"/>
      <c r="M47" s="389" t="n"/>
      <c r="N47" s="389" t="n"/>
      <c r="O47" s="389" t="n"/>
      <c r="P47" s="389" t="n"/>
      <c r="Q47" s="389" t="n"/>
      <c r="R47" s="389" t="n"/>
      <c r="S47" s="389" t="n"/>
      <c r="T47" s="389" t="n"/>
      <c r="U47" s="389" t="n"/>
      <c r="V47" s="389" t="n"/>
      <c r="W47" s="389" t="n"/>
      <c r="X47" s="389" t="n"/>
      <c r="Y47" s="389" t="n"/>
      <c r="Z47" s="389" t="n"/>
      <c r="AA47" s="389" t="n"/>
      <c r="AB47" s="389" t="n"/>
      <c r="AC47" s="389" t="n"/>
      <c r="AD47" s="389" t="n"/>
      <c r="AE47" s="389" t="n"/>
      <c r="AF47" s="389" t="n"/>
      <c r="AG47" s="389" t="n"/>
      <c r="AH47" s="389" t="n"/>
      <c r="AI47" s="389" t="n"/>
      <c r="AJ47" s="389" t="n"/>
      <c r="AK47" s="389" t="n"/>
    </row>
    <row r="48">
      <c r="C48" s="389" t="n"/>
      <c r="D48" s="389" t="n"/>
      <c r="E48" s="389" t="n"/>
      <c r="F48" s="389" t="n"/>
      <c r="G48" s="389" t="n"/>
      <c r="H48" s="389" t="n"/>
      <c r="I48" s="389" t="n"/>
      <c r="J48" s="389" t="n"/>
      <c r="K48" s="389" t="n"/>
      <c r="L48" s="389" t="n"/>
      <c r="M48" s="389" t="n"/>
      <c r="N48" s="389" t="n"/>
      <c r="O48" s="389" t="n"/>
      <c r="P48" s="389" t="n"/>
      <c r="Q48" s="389" t="n"/>
      <c r="R48" s="389" t="n"/>
      <c r="S48" s="389" t="n"/>
      <c r="T48" s="389" t="n"/>
      <c r="U48" s="389" t="n"/>
      <c r="V48" s="389" t="n"/>
      <c r="W48" s="389" t="n"/>
      <c r="X48" s="389" t="n"/>
      <c r="Y48" s="389" t="n"/>
      <c r="Z48" s="389" t="n"/>
      <c r="AA48" s="389" t="n"/>
      <c r="AB48" s="389" t="n"/>
      <c r="AC48" s="389" t="n"/>
      <c r="AD48" s="389" t="n"/>
      <c r="AE48" s="389" t="n"/>
      <c r="AF48" s="389" t="n"/>
      <c r="AG48" s="389" t="n"/>
      <c r="AH48" s="389" t="n"/>
      <c r="AI48" s="389" t="n"/>
      <c r="AJ48" s="389" t="n"/>
      <c r="AK48" s="389" t="n"/>
    </row>
    <row r="49">
      <c r="C49" s="389" t="n"/>
      <c r="D49" s="389" t="n"/>
      <c r="E49" s="389" t="n"/>
      <c r="F49" s="389" t="n"/>
      <c r="G49" s="389" t="n"/>
      <c r="H49" s="389" t="n"/>
      <c r="I49" s="389" t="n"/>
      <c r="J49" s="389" t="n"/>
      <c r="K49" s="389" t="n"/>
      <c r="L49" s="389" t="n"/>
      <c r="M49" s="389" t="n"/>
      <c r="N49" s="389" t="n"/>
      <c r="O49" s="389" t="n"/>
      <c r="P49" s="389" t="n"/>
      <c r="Q49" s="389" t="n"/>
      <c r="R49" s="389" t="n"/>
      <c r="S49" s="389" t="n"/>
      <c r="T49" s="389" t="n"/>
      <c r="U49" s="389" t="n"/>
      <c r="V49" s="389" t="n"/>
      <c r="W49" s="389" t="n"/>
      <c r="X49" s="389" t="n"/>
      <c r="Y49" s="389" t="n"/>
      <c r="Z49" s="389" t="n"/>
      <c r="AA49" s="389" t="n"/>
      <c r="AB49" s="389" t="n"/>
      <c r="AC49" s="389" t="n"/>
      <c r="AD49" s="389" t="n"/>
      <c r="AE49" s="389" t="n"/>
      <c r="AF49" s="389" t="n"/>
      <c r="AG49" s="389" t="n"/>
      <c r="AH49" s="389" t="n"/>
      <c r="AI49" s="389" t="n"/>
      <c r="AJ49" s="389" t="n"/>
      <c r="AK49" s="389" t="n"/>
    </row>
    <row r="50">
      <c r="C50" s="389" t="n"/>
      <c r="D50" s="389" t="n"/>
      <c r="E50" s="389" t="n"/>
      <c r="F50" s="389" t="n"/>
      <c r="G50" s="389" t="n"/>
      <c r="H50" s="389" t="n"/>
      <c r="I50" s="389" t="n"/>
      <c r="J50" s="389" t="n"/>
      <c r="K50" s="389" t="n"/>
      <c r="L50" s="389" t="n"/>
      <c r="M50" s="389" t="n"/>
      <c r="N50" s="389" t="n"/>
      <c r="O50" s="389" t="n"/>
      <c r="P50" s="389" t="n"/>
      <c r="Q50" s="389" t="n"/>
      <c r="R50" s="389" t="n"/>
      <c r="S50" s="389" t="n"/>
      <c r="T50" s="389" t="n"/>
      <c r="U50" s="389" t="n"/>
      <c r="V50" s="389" t="n"/>
      <c r="W50" s="389" t="n"/>
      <c r="X50" s="389" t="n"/>
      <c r="Y50" s="389" t="n"/>
      <c r="Z50" s="389" t="n"/>
      <c r="AA50" s="389" t="n"/>
      <c r="AB50" s="389" t="n"/>
      <c r="AC50" s="389" t="n"/>
      <c r="AD50" s="389" t="n"/>
      <c r="AE50" s="389" t="n"/>
      <c r="AF50" s="389" t="n"/>
      <c r="AG50" s="389" t="n"/>
      <c r="AH50" s="389" t="n"/>
      <c r="AI50" s="389" t="n"/>
      <c r="AJ50" s="389" t="n"/>
      <c r="AK50" s="389" t="n"/>
    </row>
    <row r="51">
      <c r="C51" s="389" t="n"/>
      <c r="D51" s="389" t="n"/>
      <c r="E51" s="389" t="n"/>
      <c r="F51" s="389" t="n"/>
      <c r="G51" s="389" t="n"/>
      <c r="H51" s="389" t="n"/>
      <c r="I51" s="389" t="n"/>
      <c r="J51" s="389" t="n"/>
      <c r="K51" s="389" t="n"/>
      <c r="L51" s="389" t="n"/>
      <c r="M51" s="389" t="n"/>
      <c r="N51" s="389" t="n"/>
      <c r="O51" s="389" t="n"/>
      <c r="P51" s="389" t="n"/>
      <c r="Q51" s="389" t="n"/>
      <c r="R51" s="389" t="n"/>
      <c r="S51" s="389" t="n"/>
      <c r="T51" s="389" t="n"/>
      <c r="U51" s="389" t="n"/>
      <c r="V51" s="389" t="n"/>
      <c r="W51" s="389" t="n"/>
      <c r="X51" s="389" t="n"/>
      <c r="Y51" s="389" t="n"/>
      <c r="Z51" s="389" t="n"/>
      <c r="AA51" s="389" t="n"/>
      <c r="AB51" s="389" t="n"/>
      <c r="AC51" s="389" t="n"/>
      <c r="AD51" s="389" t="n"/>
      <c r="AE51" s="389" t="n"/>
      <c r="AF51" s="389" t="n"/>
      <c r="AG51" s="389" t="n"/>
      <c r="AH51" s="389" t="n"/>
      <c r="AI51" s="389" t="n"/>
      <c r="AJ51" s="389" t="n"/>
      <c r="AK51" s="389" t="n"/>
    </row>
    <row r="52">
      <c r="C52" s="389" t="n"/>
      <c r="D52" s="389" t="n"/>
      <c r="E52" s="389" t="n"/>
      <c r="F52" s="389" t="n"/>
      <c r="G52" s="389" t="n"/>
      <c r="H52" s="389" t="n"/>
      <c r="I52" s="389" t="n"/>
      <c r="J52" s="389" t="n"/>
      <c r="K52" s="389" t="n"/>
      <c r="L52" s="389" t="n"/>
      <c r="M52" s="389" t="n"/>
      <c r="N52" s="389" t="n"/>
      <c r="O52" s="389" t="n"/>
      <c r="P52" s="389" t="n"/>
      <c r="Q52" s="389" t="n"/>
      <c r="R52" s="389" t="n"/>
      <c r="S52" s="389" t="n"/>
      <c r="T52" s="389" t="n"/>
      <c r="U52" s="389" t="n"/>
      <c r="V52" s="389" t="n"/>
      <c r="W52" s="389" t="n"/>
      <c r="X52" s="389" t="n"/>
      <c r="Y52" s="389" t="n"/>
      <c r="Z52" s="389" t="n"/>
      <c r="AA52" s="389" t="n"/>
      <c r="AB52" s="389" t="n"/>
      <c r="AC52" s="389" t="n"/>
      <c r="AD52" s="389" t="n"/>
      <c r="AE52" s="389" t="n"/>
      <c r="AF52" s="389" t="n"/>
      <c r="AG52" s="389" t="n"/>
      <c r="AH52" s="389" t="n"/>
      <c r="AI52" s="389" t="n"/>
      <c r="AJ52" s="389" t="n"/>
      <c r="AK52" s="389" t="n"/>
    </row>
    <row r="53">
      <c r="C53" s="389" t="n"/>
      <c r="D53" s="389" t="n"/>
      <c r="E53" s="389" t="n"/>
      <c r="F53" s="389" t="n"/>
      <c r="G53" s="389" t="n"/>
      <c r="H53" s="389" t="n"/>
      <c r="I53" s="389" t="n"/>
      <c r="J53" s="389" t="n"/>
      <c r="K53" s="389" t="n"/>
      <c r="L53" s="389" t="n"/>
      <c r="M53" s="389" t="n"/>
      <c r="N53" s="389" t="n"/>
      <c r="O53" s="389" t="n"/>
      <c r="P53" s="389" t="n"/>
      <c r="Q53" s="389" t="n"/>
      <c r="R53" s="389" t="n"/>
      <c r="S53" s="389" t="n"/>
      <c r="T53" s="389" t="n"/>
      <c r="U53" s="389" t="n"/>
      <c r="V53" s="389" t="n"/>
      <c r="W53" s="389" t="n"/>
      <c r="X53" s="389" t="n"/>
      <c r="Y53" s="389" t="n"/>
      <c r="Z53" s="389" t="n"/>
      <c r="AA53" s="389" t="n"/>
      <c r="AB53" s="389" t="n"/>
      <c r="AC53" s="389" t="n"/>
      <c r="AD53" s="389" t="n"/>
      <c r="AE53" s="389" t="n"/>
      <c r="AF53" s="389" t="n"/>
      <c r="AG53" s="389" t="n"/>
      <c r="AH53" s="389" t="n"/>
      <c r="AI53" s="389" t="n"/>
      <c r="AJ53" s="389" t="n"/>
      <c r="AK53" s="389" t="n"/>
    </row>
    <row r="54">
      <c r="C54" s="389" t="n"/>
      <c r="D54" s="389" t="n"/>
      <c r="E54" s="389" t="n"/>
      <c r="F54" s="389" t="n"/>
      <c r="G54" s="389" t="n"/>
      <c r="H54" s="389" t="n"/>
      <c r="I54" s="389" t="n"/>
      <c r="J54" s="389" t="n"/>
      <c r="K54" s="389" t="n"/>
      <c r="L54" s="389" t="n"/>
      <c r="M54" s="389" t="n"/>
      <c r="N54" s="389" t="n"/>
      <c r="O54" s="389" t="n"/>
      <c r="P54" s="389" t="n"/>
      <c r="Q54" s="389" t="n"/>
      <c r="R54" s="389" t="n"/>
      <c r="S54" s="389" t="n"/>
      <c r="T54" s="389" t="n"/>
      <c r="U54" s="389" t="n"/>
      <c r="V54" s="389" t="n"/>
      <c r="W54" s="389" t="n"/>
      <c r="X54" s="389" t="n"/>
      <c r="Y54" s="389" t="n"/>
      <c r="Z54" s="389" t="n"/>
      <c r="AA54" s="389" t="n"/>
      <c r="AB54" s="389" t="n"/>
      <c r="AC54" s="389" t="n"/>
      <c r="AD54" s="389" t="n"/>
      <c r="AE54" s="389" t="n"/>
      <c r="AF54" s="389" t="n"/>
      <c r="AG54" s="389" t="n"/>
      <c r="AH54" s="389" t="n"/>
      <c r="AI54" s="389" t="n"/>
      <c r="AJ54" s="389" t="n"/>
      <c r="AK54" s="389" t="n"/>
    </row>
    <row r="55">
      <c r="C55" s="389" t="n"/>
      <c r="D55" s="389" t="n"/>
      <c r="E55" s="389" t="n"/>
      <c r="F55" s="389" t="n"/>
      <c r="G55" s="389" t="n"/>
      <c r="H55" s="389" t="n"/>
      <c r="I55" s="389" t="n"/>
      <c r="J55" s="389" t="n"/>
      <c r="K55" s="389" t="n"/>
      <c r="L55" s="389" t="n"/>
      <c r="M55" s="389" t="n"/>
      <c r="N55" s="389" t="n"/>
      <c r="O55" s="389" t="n"/>
      <c r="P55" s="389" t="n"/>
      <c r="Q55" s="389" t="n"/>
      <c r="R55" s="389" t="n"/>
      <c r="S55" s="389" t="n"/>
      <c r="T55" s="389" t="n"/>
      <c r="U55" s="389" t="n"/>
      <c r="V55" s="389" t="n"/>
      <c r="W55" s="389" t="n"/>
      <c r="X55" s="389" t="n"/>
      <c r="Y55" s="389" t="n"/>
      <c r="Z55" s="389" t="n"/>
      <c r="AA55" s="389" t="n"/>
      <c r="AB55" s="389" t="n"/>
      <c r="AC55" s="389" t="n"/>
      <c r="AD55" s="389" t="n"/>
      <c r="AE55" s="389" t="n"/>
      <c r="AF55" s="389" t="n"/>
      <c r="AG55" s="389" t="n"/>
      <c r="AH55" s="389" t="n"/>
      <c r="AI55" s="389" t="n"/>
      <c r="AJ55" s="389" t="n"/>
      <c r="AK55" s="389" t="n"/>
    </row>
    <row r="56">
      <c r="C56" s="389" t="n"/>
      <c r="D56" s="389" t="n"/>
      <c r="E56" s="389" t="n"/>
      <c r="F56" s="389" t="n"/>
      <c r="G56" s="389" t="n"/>
      <c r="H56" s="389" t="n"/>
      <c r="I56" s="389" t="n"/>
      <c r="J56" s="389" t="n"/>
      <c r="K56" s="389" t="n"/>
      <c r="L56" s="389" t="n"/>
      <c r="M56" s="389" t="n"/>
      <c r="N56" s="389" t="n"/>
      <c r="O56" s="389" t="n"/>
      <c r="P56" s="389" t="n"/>
      <c r="Q56" s="389" t="n"/>
      <c r="R56" s="389" t="n"/>
      <c r="S56" s="389" t="n"/>
      <c r="T56" s="389" t="n"/>
      <c r="U56" s="389" t="n"/>
      <c r="V56" s="389" t="n"/>
      <c r="W56" s="389" t="n"/>
      <c r="X56" s="389" t="n"/>
      <c r="Y56" s="389" t="n"/>
      <c r="Z56" s="389" t="n"/>
      <c r="AA56" s="389" t="n"/>
      <c r="AB56" s="389" t="n"/>
      <c r="AC56" s="389" t="n"/>
      <c r="AD56" s="389" t="n"/>
      <c r="AE56" s="389" t="n"/>
      <c r="AF56" s="389" t="n"/>
      <c r="AG56" s="389" t="n"/>
      <c r="AH56" s="389" t="n"/>
      <c r="AI56" s="389" t="n"/>
      <c r="AJ56" s="389" t="n"/>
      <c r="AK56" s="389" t="n"/>
    </row>
    <row r="57">
      <c r="C57" s="389" t="n"/>
      <c r="D57" s="389" t="n"/>
      <c r="E57" s="389" t="n"/>
      <c r="F57" s="389" t="n"/>
      <c r="G57" s="389" t="n"/>
      <c r="H57" s="389" t="n"/>
      <c r="I57" s="389" t="n"/>
      <c r="J57" s="389" t="n"/>
      <c r="K57" s="389" t="n"/>
      <c r="L57" s="389" t="n"/>
      <c r="M57" s="389" t="n"/>
      <c r="N57" s="389" t="n"/>
      <c r="O57" s="389" t="n"/>
      <c r="P57" s="389" t="n"/>
      <c r="Q57" s="389" t="n"/>
      <c r="R57" s="389" t="n"/>
      <c r="S57" s="389" t="n"/>
      <c r="T57" s="389" t="n"/>
      <c r="U57" s="389" t="n"/>
      <c r="V57" s="389" t="n"/>
      <c r="W57" s="389" t="n"/>
      <c r="X57" s="389" t="n"/>
      <c r="Y57" s="389" t="n"/>
      <c r="Z57" s="389" t="n"/>
      <c r="AA57" s="389" t="n"/>
      <c r="AB57" s="389" t="n"/>
      <c r="AC57" s="389" t="n"/>
      <c r="AD57" s="389" t="n"/>
      <c r="AE57" s="389" t="n"/>
      <c r="AF57" s="389" t="n"/>
      <c r="AG57" s="389" t="n"/>
      <c r="AH57" s="389" t="n"/>
      <c r="AI57" s="389" t="n"/>
      <c r="AJ57" s="389" t="n"/>
      <c r="AK57" s="389" t="n"/>
    </row>
    <row r="58">
      <c r="C58" s="389" t="n"/>
      <c r="D58" s="389" t="n"/>
      <c r="E58" s="389" t="n"/>
      <c r="F58" s="389" t="n"/>
      <c r="G58" s="389" t="n"/>
      <c r="H58" s="389" t="n"/>
      <c r="I58" s="389" t="n"/>
      <c r="J58" s="389" t="n"/>
      <c r="K58" s="389" t="n"/>
      <c r="L58" s="389" t="n"/>
      <c r="M58" s="389" t="n"/>
      <c r="N58" s="389" t="n"/>
      <c r="O58" s="389" t="n"/>
      <c r="P58" s="389" t="n"/>
      <c r="Q58" s="389" t="n"/>
      <c r="R58" s="389" t="n"/>
      <c r="S58" s="389" t="n"/>
      <c r="T58" s="389" t="n"/>
      <c r="U58" s="389" t="n"/>
      <c r="V58" s="389" t="n"/>
      <c r="W58" s="389" t="n"/>
      <c r="X58" s="389" t="n"/>
      <c r="Y58" s="389" t="n"/>
      <c r="Z58" s="389" t="n"/>
      <c r="AA58" s="389" t="n"/>
      <c r="AB58" s="389" t="n"/>
      <c r="AC58" s="389" t="n"/>
      <c r="AD58" s="389" t="n"/>
      <c r="AE58" s="389" t="n"/>
      <c r="AF58" s="389" t="n"/>
      <c r="AG58" s="389" t="n"/>
      <c r="AH58" s="389" t="n"/>
      <c r="AI58" s="389" t="n"/>
      <c r="AJ58" s="389" t="n"/>
      <c r="AK58" s="389" t="n"/>
    </row>
    <row r="59">
      <c r="C59" s="389" t="n"/>
      <c r="D59" s="389" t="n"/>
      <c r="E59" s="389" t="n"/>
      <c r="F59" s="389" t="n"/>
      <c r="G59" s="389" t="n"/>
      <c r="H59" s="389" t="n"/>
      <c r="I59" s="389" t="n"/>
      <c r="J59" s="389" t="n"/>
      <c r="K59" s="389" t="n"/>
      <c r="L59" s="389" t="n"/>
      <c r="M59" s="389" t="n"/>
      <c r="N59" s="389" t="n"/>
      <c r="O59" s="389" t="n"/>
      <c r="P59" s="389" t="n"/>
      <c r="Q59" s="389" t="n"/>
      <c r="R59" s="389" t="n"/>
      <c r="S59" s="389" t="n"/>
      <c r="T59" s="389" t="n"/>
      <c r="U59" s="389" t="n"/>
      <c r="V59" s="389" t="n"/>
      <c r="W59" s="389" t="n"/>
      <c r="X59" s="389" t="n"/>
      <c r="Y59" s="389" t="n"/>
      <c r="Z59" s="389" t="n"/>
      <c r="AA59" s="389" t="n"/>
      <c r="AB59" s="389" t="n"/>
      <c r="AC59" s="389" t="n"/>
      <c r="AD59" s="389" t="n"/>
      <c r="AE59" s="389" t="n"/>
      <c r="AF59" s="389" t="n"/>
      <c r="AG59" s="389" t="n"/>
      <c r="AH59" s="389" t="n"/>
      <c r="AI59" s="389" t="n"/>
      <c r="AJ59" s="389" t="n"/>
      <c r="AK59" s="389" t="n"/>
    </row>
    <row r="60">
      <c r="C60" s="389" t="n"/>
      <c r="D60" s="389" t="n"/>
      <c r="E60" s="389" t="n"/>
      <c r="F60" s="389" t="n"/>
      <c r="G60" s="389" t="n"/>
      <c r="H60" s="389" t="n"/>
      <c r="I60" s="389" t="n"/>
      <c r="J60" s="389" t="n"/>
      <c r="K60" s="389" t="n"/>
      <c r="L60" s="389" t="n"/>
      <c r="M60" s="389" t="n"/>
      <c r="N60" s="389" t="n"/>
      <c r="O60" s="389" t="n"/>
      <c r="P60" s="389" t="n"/>
      <c r="Q60" s="389" t="n"/>
      <c r="R60" s="389" t="n"/>
      <c r="S60" s="389" t="n"/>
      <c r="T60" s="389" t="n"/>
      <c r="U60" s="389" t="n"/>
      <c r="V60" s="389" t="n"/>
      <c r="W60" s="389" t="n"/>
      <c r="X60" s="389" t="n"/>
      <c r="Y60" s="389" t="n"/>
      <c r="Z60" s="389" t="n"/>
      <c r="AA60" s="389" t="n"/>
      <c r="AB60" s="389" t="n"/>
      <c r="AC60" s="389" t="n"/>
      <c r="AD60" s="389" t="n"/>
      <c r="AE60" s="389" t="n"/>
      <c r="AF60" s="389" t="n"/>
      <c r="AG60" s="389" t="n"/>
      <c r="AH60" s="389" t="n"/>
      <c r="AI60" s="389" t="n"/>
      <c r="AJ60" s="403" t="n"/>
      <c r="AK60" s="403" t="n"/>
      <c r="AL60" s="386" t="n"/>
      <c r="AM60" s="386" t="n"/>
      <c r="AN60" s="386" t="n"/>
      <c r="AO60" s="386" t="n"/>
      <c r="AP60" s="386" t="n"/>
      <c r="AQ60" s="386" t="n"/>
      <c r="AR60" s="386" t="n"/>
      <c r="AS60" s="386" t="n"/>
      <c r="AT60" s="386" t="n"/>
      <c r="AU60" s="386" t="n"/>
      <c r="AV60" s="386" t="n"/>
      <c r="AW60" s="386" t="n"/>
      <c r="AX60" s="386" t="n"/>
      <c r="AY60" s="386" t="n"/>
      <c r="AZ60" s="386" t="n"/>
      <c r="BA60" s="386" t="n"/>
      <c r="BB60" s="386" t="n"/>
      <c r="BC60" s="386" t="n"/>
      <c r="BD60" s="386" t="n"/>
      <c r="BE60" s="386" t="n"/>
      <c r="BF60" s="386" t="n"/>
      <c r="BG60" s="386" t="n"/>
      <c r="BH60" s="386" t="n"/>
      <c r="BI60" s="386" t="n"/>
      <c r="BJ60" s="386" t="n"/>
      <c r="BK60" s="386" t="n"/>
      <c r="BL60" s="386" t="n"/>
      <c r="BM60" s="386" t="n"/>
      <c r="BN60" s="386" t="n"/>
      <c r="BO60" s="386" t="n"/>
      <c r="BP60" s="386" t="n"/>
      <c r="BQ60" s="386" t="n"/>
      <c r="BR60" s="386" t="n"/>
      <c r="BS60" s="386" t="n"/>
      <c r="BT60" s="386" t="n"/>
      <c r="BU60" s="386" t="n"/>
      <c r="BV60" s="386" t="n"/>
      <c r="BW60" s="386" t="n"/>
      <c r="BX60" s="386" t="n"/>
      <c r="BY60" s="386" t="n"/>
      <c r="BZ60" s="386" t="n"/>
      <c r="CA60" s="386" t="n"/>
      <c r="CB60" s="386" t="n"/>
      <c r="CC60" s="386" t="n"/>
      <c r="CD60" s="386" t="n"/>
    </row>
    <row r="61">
      <c r="C61" s="389" t="n"/>
      <c r="D61" s="389" t="n"/>
      <c r="E61" s="389" t="n"/>
      <c r="F61" s="389" t="n"/>
      <c r="G61" s="389" t="n"/>
      <c r="H61" s="389" t="n"/>
      <c r="I61" s="389" t="n"/>
      <c r="J61" s="389" t="n"/>
      <c r="K61" s="389" t="n"/>
      <c r="L61" s="389" t="n"/>
      <c r="M61" s="389" t="n"/>
      <c r="N61" s="389" t="n"/>
      <c r="O61" s="389" t="n"/>
      <c r="P61" s="389" t="n"/>
      <c r="Q61" s="389" t="n"/>
      <c r="R61" s="389" t="n"/>
      <c r="S61" s="389" t="n"/>
      <c r="T61" s="389" t="n"/>
      <c r="U61" s="389" t="n"/>
      <c r="V61" s="389" t="n"/>
      <c r="W61" s="389" t="n"/>
      <c r="X61" s="389" t="n"/>
      <c r="Y61" s="389" t="n"/>
      <c r="Z61" s="389" t="n"/>
      <c r="AA61" s="389" t="n"/>
      <c r="AB61" s="389" t="n"/>
      <c r="AC61" s="389" t="n"/>
      <c r="AD61" s="389" t="n"/>
      <c r="AE61" s="389" t="n"/>
      <c r="AF61" s="389" t="n"/>
      <c r="AG61" s="389" t="n"/>
      <c r="AH61" s="389" t="n"/>
      <c r="AI61" s="389" t="n"/>
      <c r="AJ61" s="389" t="n"/>
      <c r="AK61" s="389" t="n"/>
    </row>
    <row r="62">
      <c r="C62" s="389" t="n"/>
      <c r="D62" s="389" t="n"/>
      <c r="E62" s="389" t="n"/>
      <c r="F62" s="389" t="n"/>
      <c r="G62" s="389" t="n"/>
      <c r="H62" s="389" t="n"/>
      <c r="I62" s="389" t="n"/>
      <c r="J62" s="389" t="n"/>
      <c r="K62" s="389" t="n"/>
      <c r="L62" s="389" t="n"/>
      <c r="M62" s="389" t="n"/>
      <c r="N62" s="389" t="n"/>
      <c r="O62" s="389" t="n"/>
      <c r="P62" s="389" t="n"/>
      <c r="Q62" s="389" t="n"/>
      <c r="R62" s="389" t="n"/>
      <c r="S62" s="389" t="n"/>
      <c r="T62" s="389" t="n"/>
      <c r="U62" s="389" t="n"/>
      <c r="V62" s="389" t="n"/>
      <c r="W62" s="389" t="n"/>
      <c r="X62" s="389" t="n"/>
      <c r="Y62" s="389" t="n"/>
      <c r="Z62" s="389" t="n"/>
      <c r="AA62" s="389" t="n"/>
      <c r="AB62" s="389" t="n"/>
      <c r="AC62" s="389" t="n"/>
      <c r="AD62" s="389" t="n"/>
      <c r="AE62" s="389" t="n"/>
      <c r="AF62" s="389" t="n"/>
      <c r="AG62" s="389" t="n"/>
      <c r="AH62" s="389" t="n"/>
      <c r="AI62" s="389" t="n"/>
      <c r="AJ62" s="389" t="n"/>
      <c r="AK62" s="389" t="n"/>
    </row>
    <row r="63">
      <c r="C63" s="389" t="n"/>
      <c r="D63" s="389" t="n"/>
      <c r="E63" s="389" t="n"/>
      <c r="F63" s="389" t="n"/>
      <c r="G63" s="389" t="n"/>
      <c r="H63" s="389" t="n"/>
      <c r="I63" s="389" t="n"/>
      <c r="J63" s="389" t="n"/>
      <c r="K63" s="389" t="n"/>
      <c r="L63" s="389" t="n"/>
      <c r="M63" s="389" t="n"/>
      <c r="N63" s="389" t="n"/>
      <c r="O63" s="389" t="n"/>
      <c r="P63" s="389" t="n"/>
      <c r="Q63" s="389" t="n"/>
      <c r="R63" s="389" t="n"/>
      <c r="S63" s="389" t="n"/>
      <c r="T63" s="389" t="n"/>
      <c r="U63" s="389" t="n"/>
      <c r="V63" s="389" t="n"/>
      <c r="W63" s="389" t="n"/>
      <c r="X63" s="389" t="n"/>
      <c r="Y63" s="389" t="n"/>
      <c r="Z63" s="389" t="n"/>
      <c r="AA63" s="389" t="n"/>
      <c r="AB63" s="389" t="n"/>
      <c r="AC63" s="389" t="n"/>
      <c r="AD63" s="389" t="n"/>
      <c r="AE63" s="389" t="n"/>
      <c r="AF63" s="389" t="n"/>
      <c r="AG63" s="389" t="n"/>
      <c r="AH63" s="389" t="n"/>
      <c r="AI63" s="389" t="n"/>
      <c r="AJ63" s="389" t="n"/>
      <c r="AK63" s="389" t="n"/>
    </row>
    <row r="64">
      <c r="C64" s="389" t="n"/>
      <c r="D64" s="389" t="n"/>
      <c r="E64" s="389" t="n"/>
      <c r="F64" s="389" t="n"/>
      <c r="G64" s="389" t="n"/>
      <c r="H64" s="389" t="n"/>
      <c r="I64" s="389" t="n"/>
      <c r="J64" s="389" t="n"/>
      <c r="K64" s="389" t="n"/>
      <c r="L64" s="389" t="n"/>
      <c r="M64" s="389" t="n"/>
      <c r="N64" s="389" t="n"/>
      <c r="O64" s="389" t="n"/>
      <c r="P64" s="389" t="n"/>
      <c r="Q64" s="389" t="n"/>
      <c r="R64" s="389" t="n"/>
      <c r="S64" s="389" t="n"/>
      <c r="T64" s="389" t="n"/>
      <c r="U64" s="389" t="n"/>
      <c r="V64" s="389" t="n"/>
      <c r="W64" s="389" t="n"/>
      <c r="X64" s="389" t="n"/>
      <c r="Y64" s="389" t="n"/>
      <c r="Z64" s="389" t="n"/>
      <c r="AA64" s="389" t="n"/>
      <c r="AB64" s="389" t="n"/>
      <c r="AC64" s="389" t="n"/>
      <c r="AD64" s="389" t="n"/>
      <c r="AE64" s="389" t="n"/>
      <c r="AF64" s="389" t="n"/>
      <c r="AG64" s="389" t="n"/>
      <c r="AH64" s="389" t="n"/>
      <c r="AI64" s="389" t="n"/>
      <c r="AJ64" s="389" t="n"/>
      <c r="AK64" s="389" t="n"/>
    </row>
    <row r="65">
      <c r="C65" s="389" t="n"/>
      <c r="D65" s="389" t="n"/>
      <c r="E65" s="389" t="n"/>
      <c r="F65" s="389" t="n"/>
      <c r="G65" s="389" t="n"/>
      <c r="H65" s="389" t="n"/>
      <c r="I65" s="389" t="n"/>
      <c r="J65" s="389" t="n"/>
      <c r="K65" s="389" t="n"/>
      <c r="L65" s="389" t="n"/>
      <c r="M65" s="389" t="n"/>
      <c r="N65" s="389" t="n"/>
      <c r="O65" s="389" t="n"/>
      <c r="P65" s="389" t="n"/>
      <c r="Q65" s="389" t="n"/>
      <c r="R65" s="389" t="n"/>
      <c r="S65" s="389" t="n"/>
      <c r="T65" s="389" t="n"/>
      <c r="U65" s="389" t="n"/>
      <c r="V65" s="389" t="n"/>
      <c r="W65" s="389" t="n"/>
      <c r="X65" s="389" t="n"/>
      <c r="Y65" s="389" t="n"/>
      <c r="Z65" s="389" t="n"/>
      <c r="AA65" s="389" t="n"/>
      <c r="AB65" s="389" t="n"/>
      <c r="AC65" s="389" t="n"/>
      <c r="AD65" s="389" t="n"/>
      <c r="AE65" s="389" t="n"/>
      <c r="AF65" s="389" t="n"/>
      <c r="AG65" s="389" t="n"/>
      <c r="AH65" s="389" t="n"/>
      <c r="AI65" s="389" t="n"/>
      <c r="AJ65" s="389" t="n"/>
      <c r="AK65" s="389" t="n"/>
    </row>
    <row r="66">
      <c r="C66" s="389" t="n"/>
      <c r="D66" s="389" t="n"/>
      <c r="E66" s="389" t="n"/>
      <c r="F66" s="389" t="n"/>
      <c r="G66" s="389" t="n"/>
      <c r="H66" s="389" t="n"/>
      <c r="I66" s="389" t="n"/>
      <c r="J66" s="389" t="n"/>
      <c r="K66" s="389" t="n"/>
      <c r="L66" s="389" t="n"/>
      <c r="M66" s="389" t="n"/>
      <c r="N66" s="389" t="n"/>
      <c r="O66" s="389" t="n"/>
      <c r="P66" s="389" t="n"/>
      <c r="Q66" s="389" t="n"/>
      <c r="R66" s="389" t="n"/>
      <c r="S66" s="389" t="n"/>
      <c r="T66" s="389" t="n"/>
      <c r="U66" s="389" t="n"/>
      <c r="V66" s="389" t="n"/>
      <c r="W66" s="389" t="n"/>
      <c r="X66" s="389" t="n"/>
      <c r="Y66" s="389" t="n"/>
      <c r="Z66" s="389" t="n"/>
      <c r="AA66" s="389" t="n"/>
      <c r="AB66" s="389" t="n"/>
      <c r="AC66" s="389" t="n"/>
      <c r="AD66" s="389" t="n"/>
      <c r="AE66" s="389" t="n"/>
      <c r="AF66" s="389" t="n"/>
      <c r="AG66" s="389" t="n"/>
      <c r="AH66" s="389" t="n"/>
      <c r="AI66" s="389" t="n"/>
      <c r="AJ66" s="389" t="n"/>
      <c r="AK66" s="389" t="n"/>
    </row>
    <row r="67">
      <c r="C67" s="389" t="n"/>
      <c r="D67" s="389" t="n"/>
      <c r="E67" s="389" t="n"/>
      <c r="F67" s="389" t="n"/>
      <c r="G67" s="389" t="n"/>
      <c r="H67" s="389" t="n"/>
      <c r="I67" s="389" t="n"/>
      <c r="J67" s="389" t="n"/>
      <c r="K67" s="389" t="n"/>
      <c r="L67" s="389" t="n"/>
      <c r="M67" s="389" t="n"/>
      <c r="N67" s="389" t="n"/>
      <c r="O67" s="389" t="n"/>
      <c r="P67" s="389" t="n"/>
      <c r="Q67" s="389" t="n"/>
      <c r="R67" s="389" t="n"/>
      <c r="S67" s="389" t="n"/>
      <c r="T67" s="389" t="n"/>
      <c r="U67" s="389" t="n"/>
      <c r="V67" s="389" t="n"/>
      <c r="W67" s="389" t="n"/>
      <c r="X67" s="389" t="n"/>
      <c r="Y67" s="389" t="n"/>
      <c r="Z67" s="389" t="n"/>
      <c r="AA67" s="389" t="n"/>
      <c r="AB67" s="389" t="n"/>
      <c r="AC67" s="389" t="n"/>
      <c r="AD67" s="389" t="n"/>
      <c r="AE67" s="389" t="n"/>
      <c r="AF67" s="389" t="n"/>
      <c r="AG67" s="389" t="n"/>
      <c r="AH67" s="389" t="n"/>
      <c r="AI67" s="389" t="n"/>
      <c r="AJ67" s="389" t="n"/>
      <c r="AK67" s="389" t="n"/>
    </row>
    <row r="68">
      <c r="C68" s="389" t="n"/>
      <c r="D68" s="389" t="n"/>
      <c r="E68" s="389" t="n"/>
      <c r="F68" s="389" t="n"/>
      <c r="G68" s="389" t="n"/>
      <c r="H68" s="389" t="n"/>
      <c r="I68" s="389" t="n"/>
      <c r="J68" s="389" t="n"/>
      <c r="K68" s="389" t="n"/>
      <c r="L68" s="389" t="n"/>
      <c r="M68" s="389" t="n"/>
      <c r="N68" s="389" t="n"/>
      <c r="O68" s="389" t="n"/>
      <c r="P68" s="389" t="n"/>
      <c r="Q68" s="389" t="n"/>
      <c r="R68" s="389" t="n"/>
      <c r="S68" s="389" t="n"/>
      <c r="T68" s="389" t="n"/>
      <c r="U68" s="389" t="n"/>
      <c r="V68" s="389" t="n"/>
      <c r="W68" s="389" t="n"/>
      <c r="X68" s="389" t="n"/>
      <c r="Y68" s="389" t="n"/>
      <c r="Z68" s="389" t="n"/>
      <c r="AA68" s="389" t="n"/>
      <c r="AB68" s="389" t="n"/>
      <c r="AC68" s="389" t="n"/>
      <c r="AD68" s="389" t="n"/>
      <c r="AE68" s="389" t="n"/>
      <c r="AF68" s="389" t="n"/>
      <c r="AG68" s="389" t="n"/>
      <c r="AH68" s="389" t="n"/>
      <c r="AI68" s="389" t="n"/>
      <c r="AJ68" s="389" t="n"/>
      <c r="AK68" s="389" t="n"/>
    </row>
    <row r="69">
      <c r="C69" s="389" t="n"/>
      <c r="D69" s="389" t="n"/>
      <c r="E69" s="389" t="n"/>
      <c r="F69" s="389" t="n"/>
      <c r="G69" s="389" t="n"/>
      <c r="H69" s="389" t="n"/>
      <c r="I69" s="389" t="n"/>
      <c r="J69" s="389" t="n"/>
      <c r="K69" s="389" t="n"/>
      <c r="L69" s="389" t="n"/>
      <c r="M69" s="389" t="n"/>
      <c r="N69" s="389" t="n"/>
      <c r="O69" s="389" t="n"/>
      <c r="P69" s="389" t="n"/>
      <c r="Q69" s="389" t="n"/>
      <c r="R69" s="389" t="n"/>
      <c r="S69" s="389" t="n"/>
      <c r="T69" s="389" t="n"/>
      <c r="U69" s="389" t="n"/>
      <c r="V69" s="389" t="n"/>
      <c r="W69" s="389" t="n"/>
      <c r="X69" s="389" t="n"/>
      <c r="Y69" s="389" t="n"/>
      <c r="Z69" s="389" t="n"/>
      <c r="AA69" s="389" t="n"/>
      <c r="AB69" s="389" t="n"/>
      <c r="AC69" s="389" t="n"/>
      <c r="AD69" s="389" t="n"/>
      <c r="AE69" s="389" t="n"/>
      <c r="AF69" s="389" t="n"/>
      <c r="AG69" s="389" t="n"/>
      <c r="AH69" s="389" t="n"/>
      <c r="AI69" s="389" t="n"/>
      <c r="AJ69" s="389" t="n"/>
      <c r="AK69" s="389" t="n"/>
    </row>
    <row r="70">
      <c r="C70" s="389" t="n"/>
      <c r="D70" s="389" t="n"/>
      <c r="E70" s="389" t="n"/>
      <c r="F70" s="389" t="n"/>
      <c r="G70" s="389" t="n"/>
      <c r="H70" s="389" t="n"/>
      <c r="I70" s="389" t="n"/>
      <c r="J70" s="389" t="n"/>
      <c r="K70" s="389" t="n"/>
      <c r="L70" s="389" t="n"/>
      <c r="M70" s="389" t="n"/>
      <c r="N70" s="389" t="n"/>
      <c r="O70" s="389" t="n"/>
      <c r="P70" s="389" t="n"/>
      <c r="Q70" s="389" t="n"/>
      <c r="R70" s="389" t="n"/>
      <c r="S70" s="389" t="n"/>
      <c r="T70" s="389" t="n"/>
      <c r="U70" s="389" t="n"/>
      <c r="V70" s="389" t="n"/>
      <c r="W70" s="389" t="n"/>
      <c r="X70" s="389" t="n"/>
      <c r="Y70" s="389" t="n"/>
      <c r="Z70" s="389" t="n"/>
      <c r="AA70" s="389" t="n"/>
      <c r="AB70" s="389" t="n"/>
      <c r="AC70" s="389" t="n"/>
      <c r="AD70" s="389" t="n"/>
      <c r="AE70" s="389" t="n"/>
      <c r="AF70" s="389" t="n"/>
      <c r="AG70" s="389" t="n"/>
      <c r="AH70" s="389" t="n"/>
      <c r="AI70" s="389" t="n"/>
      <c r="AJ70" s="389" t="n"/>
      <c r="AK70" s="389" t="n"/>
    </row>
    <row r="71">
      <c r="C71" s="389" t="n"/>
      <c r="D71" s="389" t="n"/>
      <c r="E71" s="389" t="n"/>
      <c r="F71" s="389" t="n"/>
      <c r="G71" s="389" t="n"/>
      <c r="H71" s="389" t="n"/>
      <c r="I71" s="389" t="n"/>
      <c r="J71" s="389" t="n"/>
      <c r="K71" s="389" t="n"/>
      <c r="L71" s="389" t="n"/>
      <c r="M71" s="389" t="n"/>
      <c r="N71" s="389" t="n"/>
      <c r="O71" s="389" t="n"/>
      <c r="P71" s="389" t="n"/>
      <c r="Q71" s="389" t="n"/>
      <c r="R71" s="389" t="n"/>
      <c r="S71" s="389" t="n"/>
      <c r="T71" s="389" t="n"/>
      <c r="U71" s="389" t="n"/>
      <c r="V71" s="389" t="n"/>
      <c r="W71" s="389" t="n"/>
      <c r="X71" s="389" t="n"/>
      <c r="Y71" s="389" t="n"/>
      <c r="Z71" s="389" t="n"/>
      <c r="AA71" s="389" t="n"/>
      <c r="AB71" s="389" t="n"/>
      <c r="AC71" s="389" t="n"/>
      <c r="AD71" s="389" t="n"/>
      <c r="AE71" s="389" t="n"/>
      <c r="AF71" s="389" t="n"/>
      <c r="AG71" s="389" t="n"/>
      <c r="AH71" s="389" t="n"/>
      <c r="AI71" s="389" t="n"/>
      <c r="AJ71" s="389" t="n"/>
      <c r="AK71" s="389" t="n"/>
    </row>
    <row r="72">
      <c r="C72" s="389" t="n"/>
      <c r="D72" s="389" t="n"/>
      <c r="E72" s="389" t="n"/>
      <c r="F72" s="389" t="n"/>
      <c r="G72" s="389" t="n"/>
      <c r="H72" s="389" t="n"/>
      <c r="I72" s="389" t="n"/>
      <c r="J72" s="389" t="n"/>
      <c r="K72" s="389" t="n"/>
      <c r="L72" s="389" t="n"/>
      <c r="M72" s="389" t="n"/>
      <c r="N72" s="389" t="n"/>
      <c r="O72" s="389" t="n"/>
      <c r="P72" s="389" t="n"/>
      <c r="Q72" s="389" t="n"/>
      <c r="R72" s="389" t="n"/>
      <c r="S72" s="389" t="n"/>
      <c r="T72" s="389" t="n"/>
      <c r="U72" s="389" t="n"/>
      <c r="V72" s="389" t="n"/>
      <c r="W72" s="389" t="n"/>
      <c r="X72" s="389" t="n"/>
      <c r="Y72" s="389" t="n"/>
      <c r="Z72" s="389" t="n"/>
      <c r="AA72" s="389" t="n"/>
      <c r="AB72" s="389" t="n"/>
      <c r="AC72" s="389" t="n"/>
      <c r="AD72" s="389" t="n"/>
      <c r="AE72" s="389" t="n"/>
      <c r="AF72" s="389" t="n"/>
      <c r="AG72" s="389" t="n"/>
      <c r="AH72" s="389" t="n"/>
      <c r="AI72" s="389" t="n"/>
      <c r="AJ72" s="389" t="n"/>
      <c r="AK72" s="389" t="n"/>
    </row>
    <row r="73">
      <c r="C73" s="389" t="n"/>
      <c r="D73" s="389" t="n"/>
      <c r="E73" s="389" t="n"/>
      <c r="F73" s="389" t="n"/>
      <c r="G73" s="389" t="n"/>
      <c r="H73" s="389" t="n"/>
      <c r="I73" s="389" t="n"/>
      <c r="J73" s="389" t="n"/>
      <c r="K73" s="389" t="n"/>
      <c r="L73" s="389" t="n"/>
      <c r="M73" s="389" t="n"/>
      <c r="N73" s="389" t="n"/>
      <c r="O73" s="389" t="n"/>
      <c r="P73" s="389" t="n"/>
      <c r="Q73" s="389" t="n"/>
      <c r="R73" s="389" t="n"/>
      <c r="S73" s="389" t="n"/>
      <c r="T73" s="389" t="n"/>
      <c r="U73" s="389" t="n"/>
      <c r="V73" s="389" t="n"/>
      <c r="W73" s="389" t="n"/>
      <c r="X73" s="389" t="n"/>
      <c r="Y73" s="389" t="n"/>
      <c r="Z73" s="389" t="n"/>
      <c r="AA73" s="389" t="n"/>
      <c r="AB73" s="389" t="n"/>
      <c r="AC73" s="389" t="n"/>
      <c r="AD73" s="389" t="n"/>
      <c r="AE73" s="389" t="n"/>
      <c r="AF73" s="389" t="n"/>
      <c r="AG73" s="389" t="n"/>
      <c r="AH73" s="389" t="n"/>
      <c r="AI73" s="389" t="n"/>
      <c r="AJ73" s="389" t="n"/>
      <c r="AK73" s="389" t="n"/>
    </row>
    <row r="74">
      <c r="C74" s="389" t="n"/>
      <c r="D74" s="389" t="n"/>
      <c r="E74" s="389" t="n"/>
      <c r="F74" s="389" t="n"/>
      <c r="G74" s="389" t="n"/>
      <c r="H74" s="389" t="n"/>
      <c r="I74" s="389" t="n"/>
      <c r="J74" s="389" t="n"/>
      <c r="K74" s="389" t="n"/>
      <c r="L74" s="389" t="n"/>
      <c r="M74" s="389" t="n"/>
      <c r="N74" s="389" t="n"/>
      <c r="O74" s="389" t="n"/>
      <c r="P74" s="389" t="n"/>
      <c r="Q74" s="389" t="n"/>
      <c r="R74" s="389" t="n"/>
      <c r="S74" s="389" t="n"/>
      <c r="T74" s="389" t="n"/>
      <c r="U74" s="389" t="n"/>
      <c r="V74" s="389" t="n"/>
      <c r="W74" s="389" t="n"/>
      <c r="X74" s="389" t="n"/>
      <c r="Y74" s="389" t="n"/>
      <c r="Z74" s="389" t="n"/>
      <c r="AA74" s="389" t="n"/>
      <c r="AB74" s="389" t="n"/>
      <c r="AC74" s="389" t="n"/>
      <c r="AD74" s="389" t="n"/>
      <c r="AE74" s="389" t="n"/>
      <c r="AF74" s="389" t="n"/>
      <c r="AG74" s="389" t="n"/>
      <c r="AH74" s="389" t="n"/>
      <c r="AI74" s="389" t="n"/>
      <c r="AJ74" s="389" t="n"/>
      <c r="AK74" s="389" t="n"/>
    </row>
    <row r="75">
      <c r="C75" s="389" t="n"/>
      <c r="D75" s="389" t="n"/>
      <c r="E75" s="389" t="n"/>
      <c r="F75" s="389" t="n"/>
      <c r="G75" s="389" t="n"/>
      <c r="H75" s="389" t="n"/>
      <c r="I75" s="389" t="n"/>
      <c r="J75" s="389" t="n"/>
      <c r="K75" s="389" t="n"/>
      <c r="L75" s="389" t="n"/>
      <c r="M75" s="389" t="n"/>
      <c r="N75" s="389" t="n"/>
      <c r="O75" s="389" t="n"/>
      <c r="P75" s="389" t="n"/>
      <c r="Q75" s="389" t="n"/>
      <c r="R75" s="389" t="n"/>
      <c r="S75" s="389" t="n"/>
      <c r="T75" s="389" t="n"/>
      <c r="U75" s="389" t="n"/>
      <c r="V75" s="389" t="n"/>
      <c r="W75" s="389" t="n"/>
      <c r="X75" s="389" t="n"/>
      <c r="Y75" s="389" t="n"/>
      <c r="Z75" s="389" t="n"/>
      <c r="AA75" s="389" t="n"/>
      <c r="AB75" s="389" t="n"/>
      <c r="AC75" s="389" t="n"/>
      <c r="AD75" s="389" t="n"/>
      <c r="AE75" s="389" t="n"/>
      <c r="AF75" s="389" t="n"/>
      <c r="AG75" s="389" t="n"/>
      <c r="AH75" s="389" t="n"/>
      <c r="AI75" s="389" t="n"/>
      <c r="AJ75" s="389" t="n"/>
      <c r="AK75" s="389" t="n"/>
    </row>
    <row r="76">
      <c r="C76" s="389" t="n"/>
      <c r="D76" s="389" t="n"/>
      <c r="E76" s="389" t="n"/>
      <c r="F76" s="389" t="n"/>
      <c r="G76" s="389" t="n"/>
      <c r="H76" s="389" t="n"/>
      <c r="I76" s="389" t="n"/>
      <c r="J76" s="389" t="n"/>
      <c r="K76" s="389" t="n"/>
      <c r="L76" s="389" t="n"/>
      <c r="M76" s="389" t="n"/>
      <c r="N76" s="389" t="n"/>
      <c r="O76" s="389" t="n"/>
      <c r="P76" s="389" t="n"/>
      <c r="Q76" s="389" t="n"/>
      <c r="R76" s="389" t="n"/>
      <c r="S76" s="389" t="n"/>
      <c r="T76" s="389" t="n"/>
      <c r="U76" s="389" t="n"/>
      <c r="V76" s="389" t="n"/>
      <c r="W76" s="389" t="n"/>
      <c r="X76" s="389" t="n"/>
      <c r="Y76" s="389" t="n"/>
      <c r="Z76" s="389" t="n"/>
      <c r="AA76" s="389" t="n"/>
      <c r="AB76" s="389" t="n"/>
      <c r="AC76" s="389" t="n"/>
      <c r="AD76" s="389" t="n"/>
      <c r="AE76" s="389" t="n"/>
      <c r="AF76" s="389" t="n"/>
      <c r="AG76" s="389" t="n"/>
      <c r="AH76" s="389" t="n"/>
      <c r="AI76" s="389" t="n"/>
      <c r="AJ76" s="389" t="n"/>
      <c r="AK76" s="389" t="n"/>
    </row>
    <row r="77">
      <c r="C77" s="389" t="n"/>
      <c r="D77" s="389" t="n"/>
      <c r="E77" s="389" t="n"/>
      <c r="F77" s="389" t="n"/>
      <c r="G77" s="389" t="n"/>
      <c r="H77" s="389" t="n"/>
      <c r="I77" s="389" t="n"/>
      <c r="J77" s="389" t="n"/>
      <c r="K77" s="389" t="n"/>
      <c r="L77" s="389" t="n"/>
      <c r="M77" s="389" t="n"/>
      <c r="N77" s="389" t="n"/>
      <c r="O77" s="389" t="n"/>
      <c r="P77" s="389" t="n"/>
      <c r="Q77" s="389" t="n"/>
      <c r="R77" s="389" t="n"/>
      <c r="S77" s="389" t="n"/>
      <c r="T77" s="389" t="n"/>
      <c r="U77" s="389" t="n"/>
      <c r="V77" s="389" t="n"/>
      <c r="W77" s="389" t="n"/>
      <c r="X77" s="389" t="n"/>
      <c r="Y77" s="389" t="n"/>
      <c r="Z77" s="389" t="n"/>
      <c r="AA77" s="389" t="n"/>
      <c r="AB77" s="389" t="n"/>
      <c r="AC77" s="389" t="n"/>
      <c r="AD77" s="389" t="n"/>
      <c r="AE77" s="389" t="n"/>
      <c r="AF77" s="389" t="n"/>
      <c r="AG77" s="389" t="n"/>
      <c r="AH77" s="389" t="n"/>
      <c r="AI77" s="389" t="n"/>
      <c r="AJ77" s="389" t="n"/>
      <c r="AK77" s="389" t="n"/>
    </row>
    <row r="78">
      <c r="C78" s="389" t="n"/>
      <c r="D78" s="389" t="n"/>
      <c r="E78" s="389" t="n"/>
      <c r="F78" s="389" t="n"/>
      <c r="G78" s="389" t="n"/>
      <c r="H78" s="389" t="n"/>
      <c r="I78" s="389" t="n"/>
      <c r="J78" s="389" t="n"/>
      <c r="K78" s="389" t="n"/>
      <c r="L78" s="389" t="n"/>
      <c r="M78" s="389" t="n"/>
      <c r="N78" s="389" t="n"/>
      <c r="O78" s="389" t="n"/>
      <c r="P78" s="389" t="n"/>
      <c r="Q78" s="389" t="n"/>
      <c r="R78" s="389" t="n"/>
      <c r="S78" s="389" t="n"/>
      <c r="T78" s="389" t="n"/>
      <c r="U78" s="389" t="n"/>
      <c r="V78" s="389" t="n"/>
      <c r="W78" s="389" t="n"/>
      <c r="X78" s="389" t="n"/>
      <c r="Y78" s="389" t="n"/>
      <c r="Z78" s="389" t="n"/>
      <c r="AA78" s="389" t="n"/>
      <c r="AB78" s="389" t="n"/>
      <c r="AC78" s="389" t="n"/>
      <c r="AD78" s="389" t="n"/>
      <c r="AE78" s="389" t="n"/>
      <c r="AF78" s="389" t="n"/>
      <c r="AG78" s="389" t="n"/>
      <c r="AH78" s="389" t="n"/>
      <c r="AI78" s="389" t="n"/>
      <c r="AJ78" s="389" t="n"/>
      <c r="AK78" s="389" t="n"/>
    </row>
    <row r="79">
      <c r="C79" s="389" t="n"/>
      <c r="D79" s="389" t="n"/>
      <c r="E79" s="389" t="n"/>
      <c r="F79" s="389" t="n"/>
      <c r="G79" s="389" t="n"/>
      <c r="H79" s="389" t="n"/>
      <c r="I79" s="389" t="n"/>
      <c r="J79" s="389" t="n"/>
      <c r="K79" s="389" t="n"/>
      <c r="L79" s="389" t="n"/>
      <c r="M79" s="389" t="n"/>
      <c r="N79" s="389" t="n"/>
      <c r="O79" s="389" t="n"/>
      <c r="P79" s="389" t="n"/>
      <c r="Q79" s="389" t="n"/>
      <c r="R79" s="389" t="n"/>
      <c r="S79" s="389" t="n"/>
      <c r="T79" s="389" t="n"/>
      <c r="U79" s="389" t="n"/>
      <c r="V79" s="389" t="n"/>
      <c r="W79" s="389" t="n"/>
      <c r="X79" s="389" t="n"/>
      <c r="Y79" s="389" t="n"/>
      <c r="Z79" s="389" t="n"/>
      <c r="AA79" s="389" t="n"/>
      <c r="AB79" s="389" t="n"/>
      <c r="AC79" s="389" t="n"/>
      <c r="AD79" s="389" t="n"/>
      <c r="AE79" s="389" t="n"/>
      <c r="AF79" s="389" t="n"/>
      <c r="AG79" s="389" t="n"/>
      <c r="AH79" s="389" t="n"/>
      <c r="AI79" s="389" t="n"/>
      <c r="AJ79" s="389" t="n"/>
      <c r="AK79" s="389" t="n"/>
    </row>
    <row r="80">
      <c r="C80" s="389" t="n"/>
      <c r="D80" s="389" t="n"/>
      <c r="E80" s="389" t="n"/>
      <c r="F80" s="389" t="n"/>
      <c r="G80" s="389" t="n"/>
      <c r="H80" s="389" t="n"/>
      <c r="I80" s="389" t="n"/>
      <c r="J80" s="389" t="n"/>
      <c r="K80" s="389" t="n"/>
      <c r="L80" s="389" t="n"/>
      <c r="M80" s="389" t="n"/>
      <c r="N80" s="389" t="n"/>
      <c r="O80" s="389" t="n"/>
      <c r="P80" s="389" t="n"/>
      <c r="Q80" s="389" t="n"/>
      <c r="R80" s="389" t="n"/>
      <c r="S80" s="389" t="n"/>
      <c r="T80" s="389" t="n"/>
      <c r="U80" s="389" t="n"/>
      <c r="V80" s="389" t="n"/>
      <c r="W80" s="389" t="n"/>
      <c r="X80" s="389" t="n"/>
      <c r="Y80" s="389" t="n"/>
      <c r="Z80" s="389" t="n"/>
      <c r="AA80" s="389" t="n"/>
      <c r="AB80" s="389" t="n"/>
      <c r="AC80" s="389" t="n"/>
      <c r="AD80" s="389" t="n"/>
      <c r="AE80" s="389" t="n"/>
      <c r="AF80" s="389" t="n"/>
      <c r="AG80" s="389" t="n"/>
      <c r="AH80" s="389" t="n"/>
      <c r="AI80" s="389" t="n"/>
      <c r="AJ80" s="389" t="n"/>
      <c r="AK80" s="389" t="n"/>
    </row>
    <row r="81">
      <c r="C81" s="389" t="n"/>
      <c r="D81" s="389" t="n"/>
      <c r="E81" s="389" t="n"/>
      <c r="F81" s="389" t="n"/>
      <c r="G81" s="389" t="n"/>
      <c r="H81" s="389" t="n"/>
      <c r="I81" s="389" t="n"/>
      <c r="J81" s="389" t="n"/>
      <c r="K81" s="389" t="n"/>
      <c r="L81" s="389" t="n"/>
      <c r="M81" s="389" t="n"/>
      <c r="N81" s="389" t="n"/>
      <c r="O81" s="389" t="n"/>
      <c r="P81" s="389" t="n"/>
      <c r="Q81" s="389" t="n"/>
      <c r="R81" s="389" t="n"/>
      <c r="S81" s="389" t="n"/>
      <c r="T81" s="389" t="n"/>
      <c r="U81" s="389" t="n"/>
      <c r="V81" s="389" t="n"/>
      <c r="W81" s="389" t="n"/>
      <c r="X81" s="389" t="n"/>
      <c r="Y81" s="389" t="n"/>
      <c r="Z81" s="389" t="n"/>
      <c r="AA81" s="389" t="n"/>
      <c r="AB81" s="389" t="n"/>
      <c r="AC81" s="389" t="n"/>
      <c r="AD81" s="389" t="n"/>
      <c r="AE81" s="389" t="n"/>
      <c r="AF81" s="389" t="n"/>
      <c r="AG81" s="389" t="n"/>
      <c r="AH81" s="389" t="n"/>
      <c r="AI81" s="389" t="n"/>
      <c r="AJ81" s="389" t="n"/>
      <c r="AK81" s="389" t="n"/>
    </row>
    <row r="82">
      <c r="C82" s="389" t="n"/>
      <c r="D82" s="389" t="n"/>
      <c r="E82" s="389" t="n"/>
      <c r="F82" s="389" t="n"/>
      <c r="G82" s="389" t="n"/>
      <c r="H82" s="389" t="n"/>
      <c r="I82" s="389" t="n"/>
      <c r="J82" s="389" t="n"/>
      <c r="K82" s="389" t="n"/>
      <c r="L82" s="389" t="n"/>
      <c r="M82" s="389" t="n"/>
      <c r="N82" s="389" t="n"/>
      <c r="O82" s="389" t="n"/>
      <c r="P82" s="389" t="n"/>
      <c r="Q82" s="389" t="n"/>
      <c r="R82" s="389" t="n"/>
      <c r="S82" s="389" t="n"/>
      <c r="T82" s="389" t="n"/>
      <c r="U82" s="389" t="n"/>
      <c r="V82" s="389" t="n"/>
      <c r="W82" s="389" t="n"/>
      <c r="X82" s="389" t="n"/>
      <c r="Y82" s="389" t="n"/>
      <c r="Z82" s="389" t="n"/>
      <c r="AA82" s="389" t="n"/>
      <c r="AB82" s="389" t="n"/>
      <c r="AC82" s="389" t="n"/>
      <c r="AD82" s="389" t="n"/>
      <c r="AE82" s="389" t="n"/>
      <c r="AF82" s="389" t="n"/>
      <c r="AG82" s="389" t="n"/>
      <c r="AH82" s="389" t="n"/>
      <c r="AI82" s="389" t="n"/>
      <c r="AJ82" s="389" t="n"/>
      <c r="AK82" s="389" t="n"/>
    </row>
    <row r="83">
      <c r="C83" s="389" t="n"/>
      <c r="D83" s="389" t="n"/>
      <c r="E83" s="389" t="n"/>
      <c r="F83" s="389" t="n"/>
      <c r="G83" s="389" t="n"/>
      <c r="H83" s="389" t="n"/>
      <c r="I83" s="389" t="n"/>
      <c r="J83" s="389" t="n"/>
      <c r="K83" s="389" t="n"/>
      <c r="L83" s="389" t="n"/>
      <c r="M83" s="389" t="n"/>
      <c r="N83" s="389" t="n"/>
      <c r="O83" s="389" t="n"/>
      <c r="P83" s="389" t="n"/>
      <c r="Q83" s="389" t="n"/>
      <c r="R83" s="389" t="n"/>
      <c r="S83" s="389" t="n"/>
      <c r="T83" s="389" t="n"/>
      <c r="U83" s="389" t="n"/>
      <c r="V83" s="389" t="n"/>
      <c r="W83" s="389" t="n"/>
      <c r="X83" s="389" t="n"/>
      <c r="Y83" s="389" t="n"/>
      <c r="Z83" s="389" t="n"/>
      <c r="AA83" s="389" t="n"/>
      <c r="AB83" s="389" t="n"/>
      <c r="AC83" s="389" t="n"/>
      <c r="AD83" s="389" t="n"/>
      <c r="AE83" s="389" t="n"/>
      <c r="AF83" s="389" t="n"/>
      <c r="AG83" s="389" t="n"/>
      <c r="AH83" s="389" t="n"/>
      <c r="AI83" s="389" t="n"/>
      <c r="AJ83" s="389" t="n"/>
      <c r="AK83" s="389" t="n"/>
    </row>
    <row r="84">
      <c r="C84" s="389" t="n"/>
      <c r="D84" s="389" t="n"/>
      <c r="E84" s="389" t="n"/>
      <c r="F84" s="389" t="n"/>
      <c r="G84" s="389" t="n"/>
      <c r="H84" s="389" t="n"/>
      <c r="I84" s="389" t="n"/>
      <c r="J84" s="389" t="n"/>
      <c r="K84" s="389" t="n"/>
      <c r="L84" s="389" t="n"/>
      <c r="M84" s="389" t="n"/>
      <c r="N84" s="389" t="n"/>
      <c r="O84" s="389" t="n"/>
      <c r="P84" s="389" t="n"/>
      <c r="Q84" s="389" t="n"/>
      <c r="R84" s="389" t="n"/>
      <c r="S84" s="389" t="n"/>
      <c r="T84" s="389" t="n"/>
      <c r="U84" s="389" t="n"/>
      <c r="V84" s="389" t="n"/>
      <c r="W84" s="389" t="n"/>
      <c r="X84" s="389" t="n"/>
      <c r="Y84" s="389" t="n"/>
      <c r="Z84" s="389" t="n"/>
      <c r="AA84" s="389" t="n"/>
      <c r="AB84" s="389" t="n"/>
      <c r="AC84" s="389" t="n"/>
      <c r="AD84" s="389" t="n"/>
      <c r="AE84" s="389" t="n"/>
      <c r="AF84" s="389" t="n"/>
      <c r="AG84" s="389" t="n"/>
      <c r="AH84" s="389" t="n"/>
      <c r="AI84" s="389" t="n"/>
      <c r="AJ84" s="389" t="n"/>
      <c r="AK84" s="389" t="n"/>
    </row>
    <row r="85">
      <c r="C85" s="389" t="n"/>
      <c r="D85" s="389" t="n"/>
      <c r="E85" s="389" t="n"/>
      <c r="F85" s="389" t="n"/>
      <c r="G85" s="389" t="n"/>
      <c r="H85" s="389" t="n"/>
      <c r="I85" s="389" t="n"/>
      <c r="J85" s="389" t="n"/>
      <c r="K85" s="389" t="n"/>
      <c r="L85" s="389" t="n"/>
      <c r="M85" s="389" t="n"/>
      <c r="N85" s="389" t="n"/>
      <c r="O85" s="389" t="n"/>
      <c r="P85" s="389" t="n"/>
      <c r="Q85" s="389" t="n"/>
      <c r="R85" s="389" t="n"/>
      <c r="S85" s="389" t="n"/>
      <c r="T85" s="389" t="n"/>
      <c r="U85" s="389" t="n"/>
      <c r="V85" s="389" t="n"/>
      <c r="W85" s="389" t="n"/>
      <c r="X85" s="389" t="n"/>
      <c r="Y85" s="389" t="n"/>
      <c r="Z85" s="389" t="n"/>
      <c r="AA85" s="389" t="n"/>
      <c r="AB85" s="389" t="n"/>
      <c r="AC85" s="389" t="n"/>
      <c r="AD85" s="389" t="n"/>
      <c r="AE85" s="389" t="n"/>
      <c r="AF85" s="389" t="n"/>
      <c r="AG85" s="389" t="n"/>
      <c r="AH85" s="389" t="n"/>
      <c r="AI85" s="389" t="n"/>
      <c r="AJ85" s="389" t="n"/>
      <c r="AK85" s="389" t="n"/>
    </row>
    <row r="86">
      <c r="C86" s="389" t="n"/>
      <c r="D86" s="389" t="n"/>
      <c r="E86" s="389" t="n"/>
      <c r="F86" s="389" t="n"/>
      <c r="G86" s="389" t="n"/>
      <c r="H86" s="389" t="n"/>
      <c r="I86" s="389" t="n"/>
      <c r="J86" s="389" t="n"/>
      <c r="K86" s="389" t="n"/>
      <c r="L86" s="389" t="n"/>
      <c r="M86" s="389" t="n"/>
      <c r="N86" s="389" t="n"/>
      <c r="O86" s="389" t="n"/>
      <c r="P86" s="389" t="n"/>
      <c r="Q86" s="389" t="n"/>
      <c r="R86" s="389" t="n"/>
      <c r="S86" s="389" t="n"/>
      <c r="T86" s="389" t="n"/>
      <c r="U86" s="389" t="n"/>
      <c r="V86" s="389" t="n"/>
      <c r="W86" s="389" t="n"/>
      <c r="X86" s="389" t="n"/>
      <c r="Y86" s="389" t="n"/>
      <c r="Z86" s="389" t="n"/>
      <c r="AA86" s="389" t="n"/>
      <c r="AB86" s="389" t="n"/>
      <c r="AC86" s="389" t="n"/>
      <c r="AD86" s="389" t="n"/>
      <c r="AE86" s="389" t="n"/>
      <c r="AF86" s="389" t="n"/>
      <c r="AG86" s="389" t="n"/>
      <c r="AH86" s="389" t="n"/>
      <c r="AI86" s="389" t="n"/>
      <c r="AJ86" s="389" t="n"/>
      <c r="AK86" s="389" t="n"/>
    </row>
    <row r="87">
      <c r="C87" s="389" t="n"/>
      <c r="D87" s="389" t="n"/>
      <c r="E87" s="389" t="n"/>
      <c r="F87" s="389" t="n"/>
      <c r="G87" s="389" t="n"/>
      <c r="H87" s="389" t="n"/>
      <c r="I87" s="389" t="n"/>
      <c r="J87" s="389" t="n"/>
      <c r="K87" s="389" t="n"/>
      <c r="L87" s="389" t="n"/>
      <c r="M87" s="389" t="n"/>
      <c r="N87" s="389" t="n"/>
      <c r="O87" s="389" t="n"/>
      <c r="P87" s="389" t="n"/>
      <c r="Q87" s="389" t="n"/>
      <c r="R87" s="389" t="n"/>
      <c r="S87" s="389" t="n"/>
      <c r="T87" s="389" t="n"/>
      <c r="U87" s="389" t="n"/>
      <c r="V87" s="389" t="n"/>
      <c r="W87" s="389" t="n"/>
      <c r="X87" s="389" t="n"/>
      <c r="Y87" s="389" t="n"/>
      <c r="Z87" s="389" t="n"/>
      <c r="AA87" s="389" t="n"/>
      <c r="AB87" s="389" t="n"/>
      <c r="AC87" s="389" t="n"/>
      <c r="AD87" s="389" t="n"/>
      <c r="AE87" s="389" t="n"/>
      <c r="AF87" s="389" t="n"/>
      <c r="AG87" s="389" t="n"/>
      <c r="AH87" s="389" t="n"/>
      <c r="AI87" s="389" t="n"/>
      <c r="AJ87" s="389" t="n"/>
      <c r="AK87" s="389" t="n"/>
    </row>
  </sheetData>
  <mergeCells count="47">
    <mergeCell ref="R1:V1"/>
    <mergeCell ref="P4:Q4"/>
    <mergeCell ref="U9:V9"/>
    <mergeCell ref="R11:S11"/>
    <mergeCell ref="O10:P10"/>
    <mergeCell ref="X11:Y11"/>
    <mergeCell ref="U15:V15"/>
    <mergeCell ref="M17:Y17"/>
    <mergeCell ref="R10:S10"/>
    <mergeCell ref="O15:P15"/>
    <mergeCell ref="O9:P9"/>
    <mergeCell ref="R13:S13"/>
    <mergeCell ref="S3:T3"/>
    <mergeCell ref="X13:Y13"/>
    <mergeCell ref="V4:W4"/>
    <mergeCell ref="R15:S15"/>
    <mergeCell ref="U11:V11"/>
    <mergeCell ref="U13:V13"/>
    <mergeCell ref="M8:AA8"/>
    <mergeCell ref="BS12:BY12"/>
    <mergeCell ref="CB26:CH26"/>
    <mergeCell ref="D2:AI2"/>
    <mergeCell ref="X15:Y15"/>
    <mergeCell ref="BT17:CD17"/>
    <mergeCell ref="X14:Y14"/>
    <mergeCell ref="M3:N3"/>
    <mergeCell ref="Y4:AA4"/>
    <mergeCell ref="Y3:AA3"/>
    <mergeCell ref="BT26:BZ26"/>
    <mergeCell ref="BT21:BZ21"/>
    <mergeCell ref="CB3:CH3"/>
    <mergeCell ref="CB21:CH21"/>
    <mergeCell ref="P3:Q3"/>
    <mergeCell ref="O11:P11"/>
    <mergeCell ref="M6:AA7"/>
    <mergeCell ref="X10:Y10"/>
    <mergeCell ref="BT3:BZ3"/>
    <mergeCell ref="O14:P14"/>
    <mergeCell ref="U14:V14"/>
    <mergeCell ref="M5:AA5"/>
    <mergeCell ref="U10:V10"/>
    <mergeCell ref="R14:S14"/>
    <mergeCell ref="R9:S9"/>
    <mergeCell ref="X9:Y9"/>
    <mergeCell ref="M4:N4"/>
    <mergeCell ref="S4:T4"/>
    <mergeCell ref="V3:W3"/>
  </mergeCells>
  <conditionalFormatting sqref="R10">
    <cfRule type="cellIs" priority="1" operator="lessThan" dxfId="0">
      <formula>0</formula>
    </cfRule>
  </conditionalFormatting>
  <conditionalFormatting sqref="U10">
    <cfRule type="cellIs" priority="2" operator="lessThan" dxfId="0">
      <formula>0</formula>
    </cfRule>
  </conditionalFormatting>
  <conditionalFormatting sqref="O14">
    <cfRule type="cellIs" priority="3" operator="lessThan" dxfId="0">
      <formula>0</formula>
    </cfRule>
  </conditionalFormatting>
  <conditionalFormatting sqref="R14">
    <cfRule type="expression" priority="4" dxfId="0">
      <formula>EXACT(R14,"Loss-making")</formula>
    </cfRule>
  </conditionalFormatting>
  <dataValidations disablePrompts="1" count="1">
    <dataValidation sqref="S4" showDropDown="0" showInputMessage="0" showErrorMessage="1" allowBlank="0" errorTitle="Year 1-5" error="Enter 1-5" promptTitle="Year Selector" prompt="Select Year 1-5" type="list">
      <formula1>"1,2,3,4,5"</formula1>
      <formula2>0</formula2>
    </dataValidation>
  </dataValidations>
  <hyperlinks>
    <hyperlink ref="R1" location="'Navigation Tab'!A1" display="Navigation Tab"/>
  </hyperlinks>
  <pageMargins left="0.3" right="0.3" top="0.3" bottom="0.3" header="0.5" footer="0.5"/>
  <pageSetup orientation="landscape" paperSize="9" fitToHeight="0" fitToWidth="1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1">
    <outlinePr summaryBelow="1" summaryRight="1"/>
    <pageSetUpPr fitToPage="1"/>
  </sheetPr>
  <dimension ref="B1:E34"/>
  <sheetViews>
    <sheetView showGridLines="0" zoomScale="115" zoomScaleNormal="115" workbookViewId="0">
      <selection activeCell="C6" sqref="C6"/>
    </sheetView>
  </sheetViews>
  <sheetFormatPr baseColWidth="8" defaultColWidth="8.6640625" defaultRowHeight="13.8"/>
  <cols>
    <col width="3" customWidth="1" style="1" min="1" max="1"/>
    <col width="32" customWidth="1" style="1" min="2" max="2"/>
    <col width="22" customWidth="1" style="1" min="3" max="3"/>
    <col width="18" customWidth="1" style="1" min="4" max="4"/>
    <col width="49.44140625" bestFit="1" customWidth="1" style="1" min="5" max="5"/>
    <col width="8.6640625" customWidth="1" style="1" min="6" max="6"/>
    <col width="8.6640625" customWidth="1" style="1" min="7" max="7"/>
    <col width="8.6640625" customWidth="1" style="1" min="8" max="16384"/>
  </cols>
  <sheetData>
    <row r="1" ht="21.6" customHeight="1" thickBot="1">
      <c r="B1" s="384" t="inlineStr">
        <is>
          <t>Navigation Tab</t>
        </is>
      </c>
    </row>
    <row r="2" ht="21" customHeight="1">
      <c r="B2" s="596" t="inlineStr">
        <is>
          <t>🏢  COWORKING SPACE FINANCIAL MODEL — PANAJI, GOA</t>
        </is>
      </c>
      <c r="C2" s="597" t="n"/>
      <c r="D2" s="597" t="n"/>
      <c r="E2" s="598" t="n"/>
    </row>
    <row r="3" ht="18.6" customHeight="1" thickBot="1">
      <c r="B3" s="599" t="inlineStr">
        <is>
          <t>CONTROL PANEL  |  Input Sheet  |  All model outputs update automatically</t>
        </is>
      </c>
      <c r="C3" s="600" t="n"/>
      <c r="D3" s="600" t="n"/>
      <c r="E3" s="601" t="n"/>
    </row>
    <row r="4" ht="14.4" customHeight="1" thickBot="1"/>
    <row r="5" ht="21" customHeight="1">
      <c r="B5" s="602" t="inlineStr">
        <is>
          <t xml:space="preserve">  SCENARIO SELECTION</t>
        </is>
      </c>
      <c r="C5" s="598" t="n"/>
    </row>
    <row r="6" ht="21.6" customHeight="1" thickBot="1">
      <c r="B6" s="24" t="inlineStr">
        <is>
          <t>Property Scenario</t>
        </is>
      </c>
      <c r="C6" s="269" t="inlineStr">
        <is>
          <t>Owned</t>
        </is>
      </c>
      <c r="D6" s="7" t="n"/>
      <c r="E6" s="7" t="n"/>
    </row>
    <row r="7" ht="14.4" customHeight="1" thickBot="1"/>
    <row r="8" ht="17.4" customHeight="1">
      <c r="B8" s="445" t="inlineStr">
        <is>
          <t xml:space="preserve">  SPACE PARAMETERS</t>
        </is>
      </c>
      <c r="C8" s="594" t="n"/>
      <c r="D8" s="594" t="n"/>
      <c r="E8" s="603" t="n"/>
    </row>
    <row r="9" ht="15.6" customHeight="1">
      <c r="B9" s="25" t="inlineStr">
        <is>
          <t>Parameter</t>
        </is>
      </c>
      <c r="C9" s="9" t="inlineStr">
        <is>
          <t>Value</t>
        </is>
      </c>
      <c r="D9" s="9" t="inlineStr">
        <is>
          <t>Unit</t>
        </is>
      </c>
      <c r="E9" s="26" t="inlineStr">
        <is>
          <t>Notes</t>
        </is>
      </c>
    </row>
    <row r="10" ht="15" customHeight="1">
      <c r="B10" s="27" t="inlineStr">
        <is>
          <t>Total Seats</t>
        </is>
      </c>
      <c r="C10" s="11" t="n">
        <v>100</v>
      </c>
      <c r="D10" s="10" t="inlineStr">
        <is>
          <t>seats</t>
        </is>
      </c>
      <c r="E10" s="28" t="inlineStr">
        <is>
          <t>Fixed at 100</t>
        </is>
      </c>
    </row>
    <row r="11" ht="15" customHeight="1">
      <c r="B11" s="27" t="inlineStr">
        <is>
          <t>Area per Seat</t>
        </is>
      </c>
      <c r="C11" s="11" t="n">
        <v>50</v>
      </c>
      <c r="D11" s="10" t="inlineStr">
        <is>
          <t>sq ft</t>
        </is>
      </c>
      <c r="E11" s="28" t="inlineStr">
        <is>
          <t>Industry standard</t>
        </is>
      </c>
    </row>
    <row r="12" ht="15" customHeight="1">
      <c r="B12" s="27" t="inlineStr">
        <is>
          <t>Total Area</t>
        </is>
      </c>
      <c r="C12" s="11">
        <f>C10*C11</f>
        <v/>
      </c>
      <c r="D12" s="10" t="inlineStr">
        <is>
          <t>sq ft</t>
        </is>
      </c>
      <c r="E12" s="28" t="inlineStr">
        <is>
          <t>Auto-calculated</t>
        </is>
      </c>
    </row>
    <row r="13" ht="15" customHeight="1">
      <c r="B13" s="27" t="inlineStr">
        <is>
          <t>Occupancy Rate</t>
        </is>
      </c>
      <c r="C13" s="349" t="n">
        <v>0.8</v>
      </c>
      <c r="D13" s="10" t="inlineStr">
        <is>
          <t>%</t>
        </is>
      </c>
      <c r="E13" s="28" t="inlineStr">
        <is>
          <t>Select: 0.4 / 0.6 / 0.8  (= 40% / 60% / 80%)</t>
        </is>
      </c>
    </row>
    <row r="14" ht="15.6" customHeight="1" thickBot="1">
      <c r="B14" s="29" t="inlineStr">
        <is>
          <t>Price per Seat (Hot Desk)</t>
        </is>
      </c>
      <c r="C14" s="30" t="n">
        <v>7500</v>
      </c>
      <c r="D14" s="31" t="inlineStr">
        <is>
          <t>₹/month</t>
        </is>
      </c>
      <c r="E14" s="32" t="inlineStr">
        <is>
          <t>Panjim market: ₹5k–₹10k</t>
        </is>
      </c>
    </row>
    <row r="15" ht="15.6" customHeight="1" thickBot="1">
      <c r="B15" s="13" t="n"/>
      <c r="C15" s="13" t="n"/>
      <c r="D15" s="13" t="n"/>
      <c r="E15" s="13" t="n"/>
    </row>
    <row r="16" ht="17.4" customHeight="1">
      <c r="B16" s="445" t="inlineStr">
        <is>
          <t xml:space="preserve">  FINANCIAL &amp; MACRO PARAMETERS</t>
        </is>
      </c>
      <c r="C16" s="594" t="n"/>
      <c r="D16" s="594" t="n"/>
      <c r="E16" s="603" t="n"/>
    </row>
    <row r="17" ht="15.6" customHeight="1">
      <c r="B17" s="25" t="inlineStr">
        <is>
          <t>Parameter</t>
        </is>
      </c>
      <c r="C17" s="9" t="inlineStr">
        <is>
          <t>Value</t>
        </is>
      </c>
      <c r="D17" s="9" t="inlineStr">
        <is>
          <t>Unit</t>
        </is>
      </c>
      <c r="E17" s="26" t="inlineStr">
        <is>
          <t>Notes</t>
        </is>
      </c>
    </row>
    <row r="18" ht="15" customHeight="1">
      <c r="B18" s="27" t="inlineStr">
        <is>
          <t>Revenue Inflation Rate</t>
        </is>
      </c>
      <c r="C18" s="14" t="n">
        <v>0.05</v>
      </c>
      <c r="D18" s="10" t="inlineStr">
        <is>
          <t>%</t>
        </is>
      </c>
      <c r="E18" s="28" t="inlineStr">
        <is>
          <t>YoY price increase</t>
        </is>
      </c>
    </row>
    <row r="19" ht="15" customHeight="1">
      <c r="B19" s="27" t="inlineStr">
        <is>
          <t>Cost Escalation Rate</t>
        </is>
      </c>
      <c r="C19" s="14" t="n">
        <v>0.05</v>
      </c>
      <c r="D19" s="10" t="inlineStr">
        <is>
          <t>%</t>
        </is>
      </c>
      <c r="E19" s="28" t="inlineStr">
        <is>
          <t>YoY cost increase</t>
        </is>
      </c>
    </row>
    <row r="20" ht="15" customHeight="1">
      <c r="B20" s="27" t="inlineStr">
        <is>
          <t>WACC (Discount Rate)</t>
        </is>
      </c>
      <c r="C20" s="14">
        <f>WACC!C20</f>
        <v/>
      </c>
      <c r="D20" s="10" t="inlineStr">
        <is>
          <t>%</t>
        </is>
      </c>
      <c r="E20" s="28" t="inlineStr">
        <is>
          <t>Weighted Avg Cost of Capital</t>
        </is>
      </c>
    </row>
    <row r="21" ht="15" customHeight="1">
      <c r="B21" s="27" t="inlineStr">
        <is>
          <t>Corporate Tax Rate</t>
        </is>
      </c>
      <c r="C21" s="14" t="n">
        <v>0.25</v>
      </c>
      <c r="D21" s="10" t="inlineStr">
        <is>
          <t>%</t>
        </is>
      </c>
      <c r="E21" s="28" t="inlineStr">
        <is>
          <t>India standard rate</t>
        </is>
      </c>
    </row>
    <row r="22" ht="15" customHeight="1">
      <c r="B22" s="27" t="inlineStr">
        <is>
          <t>Loan Interest Rate</t>
        </is>
      </c>
      <c r="C22" s="14" t="n">
        <v>0.1</v>
      </c>
      <c r="D22" s="10" t="inlineStr">
        <is>
          <t>%</t>
        </is>
      </c>
      <c r="E22" s="28" t="inlineStr">
        <is>
          <t>Term loan rate (if financed)</t>
        </is>
      </c>
    </row>
    <row r="23" ht="15" customHeight="1">
      <c r="B23" s="27" t="inlineStr">
        <is>
          <t>Loan Tenure</t>
        </is>
      </c>
      <c r="C23" s="11" t="n">
        <v>7</v>
      </c>
      <c r="D23" s="10" t="inlineStr">
        <is>
          <t>years</t>
        </is>
      </c>
      <c r="E23" s="28" t="inlineStr">
        <is>
          <t>Standard commercial loan</t>
        </is>
      </c>
    </row>
    <row r="24" ht="15" customHeight="1">
      <c r="B24" s="27" t="inlineStr">
        <is>
          <t>Depreciation Rate</t>
        </is>
      </c>
      <c r="C24" s="14" t="n">
        <v>0.2</v>
      </c>
      <c r="D24" s="10" t="inlineStr">
        <is>
          <t>%</t>
        </is>
      </c>
      <c r="E24" s="28" t="inlineStr">
        <is>
          <t>WDV method for furniture/fit-out</t>
        </is>
      </c>
    </row>
    <row r="25" ht="15.6" customHeight="1" thickBot="1">
      <c r="B25" s="33" t="inlineStr">
        <is>
          <t>Advance Payment Period</t>
        </is>
      </c>
      <c r="C25" s="34" t="n">
        <v>2</v>
      </c>
      <c r="D25" s="35" t="inlineStr">
        <is>
          <t>months</t>
        </is>
      </c>
      <c r="E25" s="36" t="inlineStr">
        <is>
          <t>Months of advance subscription collected upfront</t>
        </is>
      </c>
    </row>
    <row r="26" ht="15.6" customHeight="1" thickBot="1">
      <c r="B26" s="13" t="n"/>
      <c r="C26" s="13" t="n"/>
      <c r="D26" s="13" t="n"/>
      <c r="E26" s="13" t="n"/>
    </row>
    <row r="27" ht="17.4" customHeight="1">
      <c r="B27" s="445" t="inlineStr">
        <is>
          <t xml:space="preserve">  MARKET BENCHMARKS (PANJIM, GOA)</t>
        </is>
      </c>
      <c r="C27" s="594" t="n"/>
      <c r="D27" s="594" t="n"/>
      <c r="E27" s="603" t="n"/>
    </row>
    <row r="28" ht="15.6" customHeight="1">
      <c r="B28" s="25" t="inlineStr">
        <is>
          <t>Category</t>
        </is>
      </c>
      <c r="C28" s="9" t="inlineStr">
        <is>
          <t>Low</t>
        </is>
      </c>
      <c r="D28" s="9" t="inlineStr">
        <is>
          <t>High</t>
        </is>
      </c>
      <c r="E28" s="26" t="inlineStr">
        <is>
          <t>Source</t>
        </is>
      </c>
    </row>
    <row r="29" ht="15" customHeight="1">
      <c r="B29" s="27" t="inlineStr">
        <is>
          <t>Hot Desk Price</t>
        </is>
      </c>
      <c r="C29" s="16" t="n">
        <v>5000</v>
      </c>
      <c r="D29" s="16" t="n">
        <v>10000</v>
      </c>
      <c r="E29" s="28" t="inlineStr">
        <is>
          <t>Qdesq / GoFloaters</t>
        </is>
      </c>
    </row>
    <row r="30" ht="15" customHeight="1">
      <c r="B30" s="27" t="inlineStr">
        <is>
          <t>Premium Desk Price</t>
        </is>
      </c>
      <c r="C30" s="16" t="n">
        <v>8000</v>
      </c>
      <c r="D30" s="16" t="n">
        <v>12000</v>
      </c>
      <c r="E30" s="28" t="inlineStr">
        <is>
          <t>Qdesq</t>
        </is>
      </c>
    </row>
    <row r="31" ht="15" customHeight="1">
      <c r="B31" s="27" t="inlineStr">
        <is>
          <t>Daily Desk Rate</t>
        </is>
      </c>
      <c r="C31" s="16" t="n">
        <v>400</v>
      </c>
      <c r="D31" s="16" t="n">
        <v>600</v>
      </c>
      <c r="E31" s="28" t="inlineStr">
        <is>
          <t>GoFloaters</t>
        </is>
      </c>
    </row>
    <row r="32" ht="15" customHeight="1">
      <c r="B32" s="27" t="inlineStr">
        <is>
          <t>Office Rent per sq ft</t>
        </is>
      </c>
      <c r="C32" s="16" t="n">
        <v>50</v>
      </c>
      <c r="D32" s="16" t="n">
        <v>80</v>
      </c>
      <c r="E32" s="28" t="inlineStr">
        <is>
          <t>MagicBricks</t>
        </is>
      </c>
    </row>
    <row r="33" ht="15" customHeight="1">
      <c r="B33" s="27" t="inlineStr">
        <is>
          <t>Fit-out Cost per sq ft</t>
        </is>
      </c>
      <c r="C33" s="16" t="n">
        <v>1500</v>
      </c>
      <c r="D33" s="16" t="n">
        <v>2000</v>
      </c>
      <c r="E33" s="28" t="inlineStr">
        <is>
          <t>Industry benchmark</t>
        </is>
      </c>
    </row>
    <row r="34" ht="15.6" customHeight="1" thickBot="1">
      <c r="B34" s="29" t="inlineStr">
        <is>
          <t>Furniture per Seat</t>
        </is>
      </c>
      <c r="C34" s="37" t="n">
        <v>20000</v>
      </c>
      <c r="D34" s="37" t="n">
        <v>30000</v>
      </c>
      <c r="E34" s="32" t="inlineStr">
        <is>
          <t>Industry benchmark</t>
        </is>
      </c>
    </row>
  </sheetData>
  <mergeCells count="6">
    <mergeCell ref="B27:E27"/>
    <mergeCell ref="B8:E8"/>
    <mergeCell ref="B5:C5"/>
    <mergeCell ref="B16:E16"/>
    <mergeCell ref="B3:E3"/>
    <mergeCell ref="B2:E2"/>
  </mergeCells>
  <dataValidations count="2">
    <dataValidation sqref="C6" showDropDown="0" showInputMessage="0" showErrorMessage="0" allowBlank="0" type="list">
      <formula1>"Owned,Rent"</formula1>
      <formula2>0</formula2>
    </dataValidation>
    <dataValidation sqref="C13" showDropDown="0" showInputMessage="0" showErrorMessage="0" allowBlank="0" type="list">
      <formula1>"0.4,0.6,0.8"</formula1>
      <formula2>0</formula2>
    </dataValidation>
  </dataValidations>
  <hyperlinks>
    <hyperlink ref="B1" location="'Navigation Tab'!A1" display="Navigation Tab"/>
  </hyperlinks>
  <pageMargins left="0.75" right="0.75" top="1" bottom="1" header="0.511811023622047" footer="0.511811023622047"/>
  <pageSetup orientation="landscape" fitToHeight="0" horizontalDpi="300" verticalDpi="300"/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F52"/>
  <sheetViews>
    <sheetView showGridLines="0" zoomScale="130" zoomScaleNormal="130" workbookViewId="0">
      <selection activeCell="B1" sqref="B1"/>
    </sheetView>
  </sheetViews>
  <sheetFormatPr baseColWidth="8" defaultColWidth="8.6640625" defaultRowHeight="14.4"/>
  <cols>
    <col width="3" customWidth="1" min="1" max="1"/>
    <col width="39.88671875" bestFit="1" customWidth="1" min="2" max="2"/>
    <col width="12.21875" bestFit="1" customWidth="1" min="3" max="4"/>
    <col width="15" bestFit="1" customWidth="1" min="5" max="5"/>
    <col width="61.88671875" customWidth="1" min="6" max="6"/>
  </cols>
  <sheetData>
    <row r="1" ht="21" customHeight="1">
      <c r="B1" s="384" t="inlineStr">
        <is>
          <t>Navigation Tab</t>
        </is>
      </c>
    </row>
    <row r="2" ht="22.8" customHeight="1">
      <c r="B2" s="459" t="inlineStr">
        <is>
          <t>ASSUMPTIONS SHEET — OWNED vs. RENT SCENARIO COMPARISON</t>
        </is>
      </c>
    </row>
    <row r="3" ht="17.4" customHeight="1">
      <c r="B3" s="460" t="inlineStr">
        <is>
          <t>Selected Value column is driven by Input!C6 scenario. All other sheets reference Column E only.</t>
        </is>
      </c>
    </row>
    <row r="4" ht="15" customHeight="1" thickBot="1"/>
    <row r="5" ht="17.4" customHeight="1">
      <c r="B5" s="461" t="inlineStr">
        <is>
          <t xml:space="preserve">  ASSUMPTIONS TABLE</t>
        </is>
      </c>
      <c r="C5" s="594" t="n"/>
      <c r="D5" s="594" t="n"/>
      <c r="E5" s="594" t="n"/>
      <c r="F5" s="603" t="n"/>
    </row>
    <row r="6" ht="35.4" customHeight="1" thickBot="1">
      <c r="B6" s="292" t="inlineStr">
        <is>
          <t>Variable / Parameter</t>
        </is>
      </c>
      <c r="C6" s="17" t="inlineStr">
        <is>
          <t>OWNED Scenario</t>
        </is>
      </c>
      <c r="D6" s="17" t="inlineStr">
        <is>
          <t>RENT Scenario</t>
        </is>
      </c>
      <c r="E6" s="18" t="inlineStr">
        <is>
          <t>SELECTED VALUE</t>
        </is>
      </c>
      <c r="F6" s="41" t="inlineStr">
        <is>
          <t>Notes</t>
        </is>
      </c>
    </row>
    <row r="7" ht="17.4" customHeight="1">
      <c r="B7" s="456" t="inlineStr">
        <is>
          <t xml:space="preserve">  A. PROPERTY &amp; SPACE COSTS</t>
        </is>
      </c>
      <c r="C7" s="594" t="n"/>
      <c r="D7" s="594" t="n"/>
      <c r="E7" s="594" t="n"/>
      <c r="F7" s="603" t="n"/>
    </row>
    <row r="8" ht="15" customHeight="1">
      <c r="B8" s="42" t="inlineStr">
        <is>
          <t>Rent per sq ft (₹/month)</t>
        </is>
      </c>
      <c r="C8" s="19" t="n">
        <v>0</v>
      </c>
      <c r="D8" s="19" t="n">
        <v>65</v>
      </c>
      <c r="E8" s="20">
        <f>IF(Input!C6="Owned",C8,D8)</f>
        <v/>
      </c>
      <c r="F8" s="43" t="inlineStr">
        <is>
          <t>0 for owned; avg Panjim rate</t>
        </is>
      </c>
    </row>
    <row r="9" ht="15" customHeight="1">
      <c r="B9" s="42" t="inlineStr">
        <is>
          <t>Property Purchase Cost (₹/sq ft)</t>
        </is>
      </c>
      <c r="C9" s="19" t="n">
        <v>15000</v>
      </c>
      <c r="D9" s="19" t="n">
        <v>0</v>
      </c>
      <c r="E9" s="20">
        <f>IF(Input!C6="Owned",C9,D9)</f>
        <v/>
      </c>
      <c r="F9" s="43" t="inlineStr">
        <is>
          <t>Market value Panjim CRE (indicative — verify against current listings, e.g. 99acres / MagicBricks / local broker quotes)</t>
        </is>
      </c>
    </row>
    <row r="10" ht="15" customHeight="1">
      <c r="B10" s="42" t="inlineStr">
        <is>
          <t>Security Deposit (months of rent)</t>
        </is>
      </c>
      <c r="C10" s="19" t="n">
        <v>0</v>
      </c>
      <c r="D10" s="19" t="n">
        <v>6</v>
      </c>
      <c r="E10" s="20">
        <f>IF(Input!C6="Owned",C10,D10)</f>
        <v/>
      </c>
      <c r="F10" s="43" t="inlineStr">
        <is>
          <t>Typically 6 months in Goa</t>
        </is>
      </c>
    </row>
    <row r="11" ht="15" customHeight="1">
      <c r="B11" s="42" t="inlineStr">
        <is>
          <t>CAPEX — Interiors (₹/sq ft)</t>
        </is>
      </c>
      <c r="C11" s="19" t="n">
        <v>1750</v>
      </c>
      <c r="D11" s="19" t="n">
        <v>1750</v>
      </c>
      <c r="E11" s="20">
        <f>IF(Input!C6="Owned",C11,D11)</f>
        <v/>
      </c>
      <c r="F11" s="43" t="inlineStr">
        <is>
          <t>₹1500–₹2000 range; mid-point</t>
        </is>
      </c>
    </row>
    <row r="12" ht="15" customHeight="1">
      <c r="B12" s="42" t="inlineStr">
        <is>
          <t>CAPEX — Furniture per seat (₹)</t>
        </is>
      </c>
      <c r="C12" s="19" t="n">
        <v>25000</v>
      </c>
      <c r="D12" s="19" t="n">
        <v>25000</v>
      </c>
      <c r="E12" s="20">
        <f>IF(Input!C6="Owned",C12,D12)</f>
        <v/>
      </c>
      <c r="F12" s="43" t="inlineStr">
        <is>
          <t>₹20k–₹30k; mid-point</t>
        </is>
      </c>
    </row>
    <row r="13" ht="15" customHeight="1">
      <c r="B13" s="42" t="inlineStr">
        <is>
          <t>CAPEX — IT &amp; Networking (₹ lakh)</t>
        </is>
      </c>
      <c r="C13" s="19" t="n">
        <v>7.5</v>
      </c>
      <c r="D13" s="19" t="n">
        <v>7.5</v>
      </c>
      <c r="E13" s="20">
        <f>IF(Input!C6="Owned",C13,D13)</f>
        <v/>
      </c>
      <c r="F13" s="43" t="inlineStr">
        <is>
          <t>Servers, switches, WiFi6</t>
        </is>
      </c>
    </row>
    <row r="14" ht="15" customHeight="1">
      <c r="B14" s="42" t="inlineStr">
        <is>
          <t>CAPEX — Electrical &amp; AC (₹ lakh)</t>
        </is>
      </c>
      <c r="C14" s="19" t="n">
        <v>12.5</v>
      </c>
      <c r="D14" s="19" t="n">
        <v>12.5</v>
      </c>
      <c r="E14" s="20">
        <f>IF(Input!C6="Owned",C14,D14)</f>
        <v/>
      </c>
      <c r="F14" s="43" t="inlineStr">
        <is>
          <t>VRF + DB panels</t>
        </is>
      </c>
    </row>
    <row r="15" ht="15" customHeight="1">
      <c r="B15" s="42" t="inlineStr">
        <is>
          <t>CAPEX — Branding &amp; Signage (₹ lakh)</t>
        </is>
      </c>
      <c r="C15" s="19" t="n">
        <v>4</v>
      </c>
      <c r="D15" s="19" t="n">
        <v>4</v>
      </c>
      <c r="E15" s="20">
        <f>IF(Input!C6="Owned",C15,D15)</f>
        <v/>
      </c>
      <c r="F15" s="43" t="inlineStr">
        <is>
          <t>Interior + exterior brand</t>
        </is>
      </c>
    </row>
    <row r="16" ht="15.6" customHeight="1" thickBot="1">
      <c r="B16" s="44" t="inlineStr">
        <is>
          <t>CAPEX — Misc / Contingency (₹ lakh)</t>
        </is>
      </c>
      <c r="C16" s="45" t="n">
        <v>3</v>
      </c>
      <c r="D16" s="45" t="n">
        <v>3</v>
      </c>
      <c r="E16" s="46">
        <f>IF(Input!C6="Owned",C16,D16)</f>
        <v/>
      </c>
      <c r="F16" s="47" t="inlineStr">
        <is>
          <t>5–10% buffer</t>
        </is>
      </c>
    </row>
    <row r="17" ht="16.2" customHeight="1" thickBot="1">
      <c r="B17" s="21" t="n"/>
      <c r="C17" s="21" t="n"/>
      <c r="D17" s="21" t="n"/>
      <c r="E17" s="21" t="n"/>
      <c r="F17" s="21" t="n"/>
    </row>
    <row r="18" ht="17.4" customHeight="1">
      <c r="B18" s="456" t="inlineStr">
        <is>
          <t xml:space="preserve">  B. DEPRECIATION &amp; FINANCING</t>
        </is>
      </c>
      <c r="C18" s="594" t="n"/>
      <c r="D18" s="594" t="n"/>
      <c r="E18" s="594" t="n"/>
      <c r="F18" s="603" t="n"/>
    </row>
    <row r="19" ht="15" customHeight="1">
      <c r="B19" s="42" t="inlineStr">
        <is>
          <t>Depreciation Rate — Fit-out (%)</t>
        </is>
      </c>
      <c r="C19" s="22" t="n">
        <v>0.1</v>
      </c>
      <c r="D19" s="22" t="n">
        <v>0.1</v>
      </c>
      <c r="E19" s="23">
        <f>IF(Input!C6="Owned",C19,D19)</f>
        <v/>
      </c>
      <c r="F19" s="43" t="inlineStr">
        <is>
          <t>SLM over 10 years</t>
        </is>
      </c>
    </row>
    <row r="20" ht="15" customHeight="1">
      <c r="B20" s="42" t="inlineStr">
        <is>
          <t>Depreciation Rate — Furniture (%)</t>
        </is>
      </c>
      <c r="C20" s="22" t="n">
        <v>0.2</v>
      </c>
      <c r="D20" s="22" t="n">
        <v>0.2</v>
      </c>
      <c r="E20" s="23">
        <f>IF(Input!C6="Owned",C20,D20)</f>
        <v/>
      </c>
      <c r="F20" s="43" t="inlineStr">
        <is>
          <t>WDV method</t>
        </is>
      </c>
    </row>
    <row r="21" ht="15" customHeight="1">
      <c r="B21" s="42" t="inlineStr">
        <is>
          <t>Depreciation Rate — IT (%)</t>
        </is>
      </c>
      <c r="C21" s="22" t="n">
        <v>0.33</v>
      </c>
      <c r="D21" s="22" t="n">
        <v>0.33</v>
      </c>
      <c r="E21" s="23">
        <f>IF(Input!C6="Owned",C21,D21)</f>
        <v/>
      </c>
      <c r="F21" s="43" t="inlineStr">
        <is>
          <t>3-year life</t>
        </is>
      </c>
    </row>
    <row r="22" ht="15" customHeight="1">
      <c r="B22" s="42" t="inlineStr">
        <is>
          <t>Loan-to-Cost Ratio (%)</t>
        </is>
      </c>
      <c r="C22" s="22" t="n">
        <v>0.6</v>
      </c>
      <c r="D22" s="22" t="n">
        <v>0.6</v>
      </c>
      <c r="E22" s="23">
        <f>IF(Input!C6="Owned",C22,D22)</f>
        <v/>
      </c>
      <c r="F22" s="43" t="inlineStr">
        <is>
          <t>60% debt financing assumed</t>
        </is>
      </c>
    </row>
    <row r="23" ht="15.6" customHeight="1" thickBot="1">
      <c r="B23" s="48" t="inlineStr">
        <is>
          <t>Cost Escalation Rate</t>
        </is>
      </c>
      <c r="C23" s="49" t="n">
        <v>0.05</v>
      </c>
      <c r="D23" s="49" t="n">
        <v>0.05</v>
      </c>
      <c r="E23" s="50">
        <f>Input!C19</f>
        <v/>
      </c>
      <c r="F23" s="51" t="inlineStr">
        <is>
          <t>Links to Input!C19 — applied to all OpEx year-on-year</t>
        </is>
      </c>
    </row>
    <row r="24" ht="15.6" customHeight="1" thickBot="1">
      <c r="B24" s="38" t="n"/>
      <c r="C24" s="39" t="n"/>
      <c r="D24" s="39" t="n"/>
      <c r="E24" s="40" t="n"/>
      <c r="F24" s="38" t="n"/>
    </row>
    <row r="25" ht="17.4" customHeight="1">
      <c r="B25" s="456" t="inlineStr">
        <is>
          <t xml:space="preserve">  C. STAFFING (MONTHLY SALARIES)</t>
        </is>
      </c>
      <c r="C25" s="594" t="n"/>
      <c r="D25" s="594" t="n"/>
      <c r="E25" s="594" t="n"/>
      <c r="F25" s="603" t="n"/>
    </row>
    <row r="26" ht="15" customHeight="1">
      <c r="B26" s="42" t="inlineStr">
        <is>
          <t>Centre Manager (1)</t>
        </is>
      </c>
      <c r="C26" s="19" t="n">
        <v>50000</v>
      </c>
      <c r="D26" s="19" t="n">
        <v>50000</v>
      </c>
      <c r="E26" s="20">
        <f>IF(Input!C6="Owned",C26,D26)</f>
        <v/>
      </c>
      <c r="F26" s="43" t="inlineStr">
        <is>
          <t>Panjim market</t>
        </is>
      </c>
    </row>
    <row r="27" ht="15" customHeight="1">
      <c r="B27" s="42" t="inlineStr">
        <is>
          <t>Front Desk / Community (2)</t>
        </is>
      </c>
      <c r="C27" s="19" t="n">
        <v>25000</v>
      </c>
      <c r="D27" s="19" t="n">
        <v>25000</v>
      </c>
      <c r="E27" s="20">
        <f>IF(Input!C6="Owned",C27,D27)</f>
        <v/>
      </c>
      <c r="F27" s="43" t="inlineStr">
        <is>
          <t>Per person</t>
        </is>
      </c>
    </row>
    <row r="28" ht="15" customHeight="1">
      <c r="B28" s="42" t="inlineStr">
        <is>
          <t>IT Support (1 part-time)</t>
        </is>
      </c>
      <c r="C28" s="19" t="n">
        <v>15000</v>
      </c>
      <c r="D28" s="19" t="n">
        <v>15000</v>
      </c>
      <c r="E28" s="20">
        <f>IF(Input!C6="Owned",C28,D28)</f>
        <v/>
      </c>
      <c r="F28" s="43" t="inlineStr">
        <is>
          <t>Part-time</t>
        </is>
      </c>
    </row>
    <row r="29" ht="15" customHeight="1">
      <c r="B29" s="42" t="inlineStr">
        <is>
          <t>Housekeeping &amp; Security (3)</t>
        </is>
      </c>
      <c r="C29" s="19" t="n">
        <v>14000</v>
      </c>
      <c r="D29" s="19" t="n">
        <v>14000</v>
      </c>
      <c r="E29" s="20">
        <f>IF(Input!C6="Owned",C29,D29)</f>
        <v/>
      </c>
      <c r="F29" s="43" t="inlineStr">
        <is>
          <t>Per person</t>
        </is>
      </c>
    </row>
    <row r="30" ht="15" customHeight="1">
      <c r="B30" s="42" t="inlineStr">
        <is>
          <t>Marketing / Social (1)</t>
        </is>
      </c>
      <c r="C30" s="19" t="n">
        <v>20000</v>
      </c>
      <c r="D30" s="19" t="n">
        <v>20000</v>
      </c>
      <c r="E30" s="20">
        <f>IF(Input!C6="Owned",C30,D30)</f>
        <v/>
      </c>
      <c r="F30" s="43" t="inlineStr">
        <is>
          <t>In-house</t>
        </is>
      </c>
    </row>
    <row r="31" ht="15.6" customHeight="1" thickBot="1">
      <c r="B31" s="44" t="inlineStr">
        <is>
          <t>Accounts / Admin (1)</t>
        </is>
      </c>
      <c r="C31" s="45" t="n">
        <v>22000</v>
      </c>
      <c r="D31" s="45" t="n">
        <v>22000</v>
      </c>
      <c r="E31" s="46">
        <f>IF(Input!C6="Owned",C31,D31)</f>
        <v/>
      </c>
      <c r="F31" s="47" t="inlineStr">
        <is>
          <t>Part-time</t>
        </is>
      </c>
    </row>
    <row r="32" ht="16.2" customHeight="1" thickBot="1">
      <c r="B32" s="21" t="n"/>
      <c r="C32" s="21" t="n"/>
      <c r="D32" s="21" t="n"/>
      <c r="E32" s="21" t="n"/>
      <c r="F32" s="21" t="n"/>
    </row>
    <row r="33" ht="17.4" customHeight="1">
      <c r="B33" s="456" t="inlineStr">
        <is>
          <t xml:space="preserve">  D. UTILITIES &amp; FIXED MONTHLY COSTS</t>
        </is>
      </c>
      <c r="C33" s="594" t="n"/>
      <c r="D33" s="594" t="n"/>
      <c r="E33" s="594" t="n"/>
      <c r="F33" s="603" t="n"/>
    </row>
    <row r="34" ht="15" customHeight="1">
      <c r="B34" s="42" t="inlineStr">
        <is>
          <t>Internet (leased line, Gbps)</t>
        </is>
      </c>
      <c r="C34" s="19" t="n">
        <v>18000</v>
      </c>
      <c r="D34" s="19" t="n">
        <v>18000</v>
      </c>
      <c r="E34" s="20">
        <f>IF(Input!C6="Owned",C34,D34)</f>
        <v/>
      </c>
      <c r="F34" s="43" t="inlineStr">
        <is>
          <t>1 Gbps leased line Goa</t>
        </is>
      </c>
    </row>
    <row r="35" ht="15" customHeight="1">
      <c r="B35" s="42" t="inlineStr">
        <is>
          <t>Electricity — Base (₹/month)</t>
        </is>
      </c>
      <c r="C35" s="19" t="n">
        <v>45000</v>
      </c>
      <c r="D35" s="19" t="n">
        <v>45000</v>
      </c>
      <c r="E35" s="20">
        <f>IF(Input!C6="Owned",C35,D35)</f>
        <v/>
      </c>
      <c r="F35" s="43" t="inlineStr">
        <is>
          <t>AC + common area</t>
        </is>
      </c>
    </row>
    <row r="36" ht="15" customHeight="1">
      <c r="B36" s="42" t="inlineStr">
        <is>
          <t>Maintenance &amp; Repairs</t>
        </is>
      </c>
      <c r="C36" s="19" t="n">
        <v>15000</v>
      </c>
      <c r="D36" s="19" t="n">
        <v>15000</v>
      </c>
      <c r="E36" s="20">
        <f>IF(Input!C6="Owned",C36,D36)</f>
        <v/>
      </c>
      <c r="F36" s="43" t="inlineStr">
        <is>
          <t>Monthly upkeep</t>
        </is>
      </c>
    </row>
    <row r="37" ht="15" customHeight="1">
      <c r="B37" s="42" t="inlineStr">
        <is>
          <t>Marketing &amp; Digital Ads</t>
        </is>
      </c>
      <c r="C37" s="19" t="n">
        <v>20000</v>
      </c>
      <c r="D37" s="19" t="n">
        <v>20000</v>
      </c>
      <c r="E37" s="20">
        <f>IF(Input!C6="Owned",C37,D37)</f>
        <v/>
      </c>
      <c r="F37" s="43" t="inlineStr">
        <is>
          <t>Google + Instagram</t>
        </is>
      </c>
    </row>
    <row r="38" ht="15" customHeight="1">
      <c r="B38" s="42" t="inlineStr">
        <is>
          <t>Admin &amp; Office Expenses</t>
        </is>
      </c>
      <c r="C38" s="19" t="n">
        <v>8000</v>
      </c>
      <c r="D38" s="19" t="n">
        <v>8000</v>
      </c>
      <c r="E38" s="20">
        <f>IF(Input!C6="Owned",C38,D38)</f>
        <v/>
      </c>
      <c r="F38" s="43" t="inlineStr">
        <is>
          <t>Consumables, printing</t>
        </is>
      </c>
    </row>
    <row r="39" ht="15" customHeight="1">
      <c r="B39" s="42" t="inlineStr">
        <is>
          <t>Insurance (monthly equiv.)</t>
        </is>
      </c>
      <c r="C39" s="19" t="n">
        <v>6000</v>
      </c>
      <c r="D39" s="19" t="n">
        <v>6000</v>
      </c>
      <c r="E39" s="20">
        <f>IF(Input!C6="Owned",C39,D39)</f>
        <v/>
      </c>
      <c r="F39" s="43" t="inlineStr">
        <is>
          <t>CRE + asset insurance</t>
        </is>
      </c>
    </row>
    <row r="40" ht="15.6" customHeight="1" thickBot="1">
      <c r="B40" s="44" t="inlineStr">
        <is>
          <t>Telephone / Misc Utilities</t>
        </is>
      </c>
      <c r="C40" s="45" t="n">
        <v>3000</v>
      </c>
      <c r="D40" s="45" t="n">
        <v>3000</v>
      </c>
      <c r="E40" s="46">
        <f>IF(Input!C6="Owned",C40,D40)</f>
        <v/>
      </c>
      <c r="F40" s="47" t="inlineStr">
        <is>
          <t>Misc utilities</t>
        </is>
      </c>
    </row>
    <row r="41" ht="16.2" customHeight="1" thickBot="1">
      <c r="B41" s="21" t="n"/>
      <c r="C41" s="21" t="n"/>
      <c r="D41" s="21" t="n"/>
      <c r="E41" s="21" t="n"/>
      <c r="F41" s="21" t="n"/>
    </row>
    <row r="42" ht="17.4" customHeight="1">
      <c r="B42" s="456" t="inlineStr">
        <is>
          <t xml:space="preserve">  E. VARIABLE COSTS (PER OCCUPIED SEAT / MONTH)</t>
        </is>
      </c>
      <c r="C42" s="594" t="n"/>
      <c r="D42" s="594" t="n"/>
      <c r="E42" s="594" t="n"/>
      <c r="F42" s="603" t="n"/>
    </row>
    <row r="43" ht="15" customHeight="1">
      <c r="B43" s="42" t="inlineStr">
        <is>
          <t>Electricity per user (₹/seat)</t>
        </is>
      </c>
      <c r="C43" s="19" t="n">
        <v>350</v>
      </c>
      <c r="D43" s="19" t="n">
        <v>350</v>
      </c>
      <c r="E43" s="20">
        <f>IF(Input!C6="Owned",C43,D43)</f>
        <v/>
      </c>
      <c r="F43" s="43" t="inlineStr">
        <is>
          <t>Usage-based allocation</t>
        </is>
      </c>
    </row>
    <row r="44" ht="15" customHeight="1">
      <c r="B44" s="42" t="inlineStr">
        <is>
          <t>Pantry / Beverages (₹/seat)</t>
        </is>
      </c>
      <c r="C44" s="19" t="n">
        <v>200</v>
      </c>
      <c r="D44" s="19" t="n">
        <v>200</v>
      </c>
      <c r="E44" s="20">
        <f>IF(Input!C6="Owned",C44,D44)</f>
        <v/>
      </c>
      <c r="F44" s="43" t="inlineStr">
        <is>
          <t>Tea, coffee, snacks</t>
        </is>
      </c>
    </row>
    <row r="45" ht="15" customHeight="1">
      <c r="B45" s="42" t="inlineStr">
        <is>
          <t>Cleaning per seat (₹/seat)</t>
        </is>
      </c>
      <c r="C45" s="19" t="n">
        <v>150</v>
      </c>
      <c r="D45" s="19" t="n">
        <v>150</v>
      </c>
      <c r="E45" s="20">
        <f>IF(Input!C6="Owned",C45,D45)</f>
        <v/>
      </c>
      <c r="F45" s="43" t="inlineStr">
        <is>
          <t>Incremental cleaning</t>
        </is>
      </c>
    </row>
    <row r="46" ht="15" customHeight="1">
      <c r="B46" s="42" t="inlineStr">
        <is>
          <t>Internet usage (₹/seat)</t>
        </is>
      </c>
      <c r="C46" s="19" t="n">
        <v>120</v>
      </c>
      <c r="D46" s="19" t="n">
        <v>120</v>
      </c>
      <c r="E46" s="20">
        <f>IF(Input!C6="Owned",C46,D46)</f>
        <v/>
      </c>
      <c r="F46" s="43" t="inlineStr">
        <is>
          <t>Incremental bandwidth</t>
        </is>
      </c>
    </row>
    <row r="47" ht="15.6" customHeight="1" thickBot="1">
      <c r="B47" s="44" t="inlineStr">
        <is>
          <t>Stationery &amp; consumables</t>
        </is>
      </c>
      <c r="C47" s="45" t="n">
        <v>80</v>
      </c>
      <c r="D47" s="45" t="n">
        <v>80</v>
      </c>
      <c r="E47" s="46">
        <f>IF(Input!C6="Owned",C47,D47)</f>
        <v/>
      </c>
      <c r="F47" s="47" t="inlineStr">
        <is>
          <t>Per active user</t>
        </is>
      </c>
    </row>
    <row r="48" ht="15.6" customHeight="1">
      <c r="A48" s="21" t="n"/>
    </row>
    <row r="50" ht="15.6" customHeight="1">
      <c r="A50" s="21" t="n"/>
    </row>
    <row r="51" ht="15.6" customHeight="1">
      <c r="A51" s="21" t="n"/>
    </row>
    <row r="52" ht="15.6" customHeight="1">
      <c r="A52" s="21" t="n"/>
    </row>
  </sheetData>
  <mergeCells count="8">
    <mergeCell ref="B7:F7"/>
    <mergeCell ref="B2:F2"/>
    <mergeCell ref="B33:F33"/>
    <mergeCell ref="B25:F25"/>
    <mergeCell ref="B42:F42"/>
    <mergeCell ref="B3:F3"/>
    <mergeCell ref="B5:F5"/>
    <mergeCell ref="B18:F18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fitToHeight="0" horizontalDpi="300" verticalDpi="30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B1:H33"/>
  <sheetViews>
    <sheetView showGridLines="0" topLeftCell="A8" zoomScale="85" zoomScaleNormal="85" workbookViewId="0">
      <selection activeCell="F21" sqref="F21"/>
    </sheetView>
  </sheetViews>
  <sheetFormatPr baseColWidth="8" defaultColWidth="8.6640625" defaultRowHeight="14.4"/>
  <cols>
    <col width="3" customWidth="1" min="1" max="1"/>
    <col width="36" bestFit="1" customWidth="1" min="2" max="2"/>
    <col width="18" customWidth="1" min="3" max="3"/>
    <col width="14" customWidth="1" min="4" max="4"/>
    <col width="18" customWidth="1" min="5" max="5"/>
    <col width="23" bestFit="1" customWidth="1" min="6" max="6"/>
    <col width="22" customWidth="1" min="7" max="7"/>
    <col width="72.5546875" bestFit="1" customWidth="1" min="8" max="8"/>
  </cols>
  <sheetData>
    <row r="1" ht="21.6" customHeight="1" thickBot="1">
      <c r="B1" s="384" t="inlineStr">
        <is>
          <t>Navigation Tab</t>
        </is>
      </c>
    </row>
    <row r="2" ht="21" customHeight="1">
      <c r="B2" s="596" t="inlineStr">
        <is>
          <t>BUSINESS MODEL &amp; REVENUE STREAMS — MONTHLY PROJECTION</t>
        </is>
      </c>
      <c r="C2" s="597" t="n"/>
      <c r="D2" s="597" t="n"/>
      <c r="E2" s="597" t="n"/>
      <c r="F2" s="597" t="n"/>
      <c r="G2" s="597" t="n"/>
      <c r="H2" s="598" t="n"/>
    </row>
    <row r="3" ht="18.6" customHeight="1" thickBot="1">
      <c r="B3" s="604" t="inlineStr">
        <is>
          <t>All values linked to Input Sheet. Change Occupancy or Price in Input to update all revenue figures.</t>
        </is>
      </c>
      <c r="C3" s="600" t="n"/>
      <c r="D3" s="600" t="n"/>
      <c r="E3" s="600" t="n"/>
      <c r="F3" s="600" t="n"/>
      <c r="G3" s="600" t="n"/>
      <c r="H3" s="601" t="n"/>
    </row>
    <row r="4" ht="15" customHeight="1" thickBot="1"/>
    <row r="5" ht="17.4" customHeight="1">
      <c r="B5" s="605" t="inlineStr">
        <is>
          <t xml:space="preserve">  CAPACITY &amp; OCCUPANCY SUMMARY</t>
        </is>
      </c>
      <c r="C5" s="594" t="n"/>
      <c r="D5" s="595" t="n"/>
    </row>
    <row r="6" ht="15" customHeight="1">
      <c r="B6" s="42" t="inlineStr">
        <is>
          <t>Total Installed Seats</t>
        </is>
      </c>
      <c r="C6" s="52">
        <f>Input!C10</f>
        <v/>
      </c>
      <c r="D6" s="43" t="inlineStr">
        <is>
          <t>seats</t>
        </is>
      </c>
    </row>
    <row r="7" ht="15" customHeight="1">
      <c r="B7" s="42" t="inlineStr">
        <is>
          <t>Area per Seat</t>
        </is>
      </c>
      <c r="C7" s="52">
        <f>Input!C11</f>
        <v/>
      </c>
      <c r="D7" s="43" t="inlineStr">
        <is>
          <t>sq ft</t>
        </is>
      </c>
    </row>
    <row r="8" ht="15" customHeight="1">
      <c r="B8" s="42" t="inlineStr">
        <is>
          <t>Total Leasable Area</t>
        </is>
      </c>
      <c r="C8" s="52">
        <f>Input!C12</f>
        <v/>
      </c>
      <c r="D8" s="43" t="inlineStr">
        <is>
          <t>sq ft</t>
        </is>
      </c>
    </row>
    <row r="9" ht="15" customHeight="1">
      <c r="B9" s="42" t="inlineStr">
        <is>
          <t>Occupancy Rate</t>
        </is>
      </c>
      <c r="C9" s="23">
        <f>Input!C13</f>
        <v/>
      </c>
      <c r="D9" s="43" t="inlineStr">
        <is>
          <t>%</t>
        </is>
      </c>
    </row>
    <row r="10" ht="15.6" customHeight="1" thickBot="1">
      <c r="B10" s="44" t="inlineStr">
        <is>
          <t>Occupied Seats (monthly)</t>
        </is>
      </c>
      <c r="C10" s="63">
        <f>Input!C10*Input!C13</f>
        <v/>
      </c>
      <c r="D10" s="47" t="inlineStr">
        <is>
          <t>seats</t>
        </is>
      </c>
    </row>
    <row r="11" ht="15" customHeight="1" thickBot="1"/>
    <row r="12" ht="17.4" customHeight="1">
      <c r="B12" s="606" t="inlineStr">
        <is>
          <t xml:space="preserve">  MONTHLY REVENUE STREAMS</t>
        </is>
      </c>
      <c r="C12" s="597" t="n"/>
      <c r="D12" s="597" t="n"/>
      <c r="E12" s="597" t="n"/>
      <c r="F12" s="597" t="n"/>
      <c r="G12" s="597" t="n"/>
      <c r="H12" s="598" t="n"/>
    </row>
    <row r="13" ht="31.2" customHeight="1">
      <c r="B13" s="72" t="inlineStr">
        <is>
          <t>Revenue Stream</t>
        </is>
      </c>
      <c r="C13" s="64" t="inlineStr">
        <is>
          <t>Units / Qty</t>
        </is>
      </c>
      <c r="D13" s="64" t="inlineStr">
        <is>
          <t>Price (₹)</t>
        </is>
      </c>
      <c r="E13" s="64" t="inlineStr">
        <is>
          <t>Occupancy Adj.</t>
        </is>
      </c>
      <c r="F13" s="64" t="inlineStr">
        <is>
          <t>Monthly Revenue (₹)</t>
        </is>
      </c>
      <c r="G13" s="64" t="inlineStr">
        <is>
          <t>% of Total</t>
        </is>
      </c>
      <c r="H13" s="73" t="inlineStr">
        <is>
          <t>Notes</t>
        </is>
      </c>
    </row>
    <row r="14" ht="15" customHeight="1">
      <c r="B14" s="74" t="inlineStr">
        <is>
          <t>Hot Desks</t>
        </is>
      </c>
      <c r="C14" s="65">
        <f>ROUND(Input!C10*Input!C13*0.45,0)</f>
        <v/>
      </c>
      <c r="D14" s="66">
        <f>Input!C14</f>
        <v/>
      </c>
      <c r="E14" s="67" t="n">
        <v>1</v>
      </c>
      <c r="F14" s="68">
        <f>C14*D14*E14</f>
        <v/>
      </c>
      <c r="G14" s="69">
        <f>IF(F21=0,"-",F14/F21)</f>
        <v/>
      </c>
      <c r="H14" s="75" t="inlineStr">
        <is>
          <t>45% of occupied seats on hot-desk plan</t>
        </is>
      </c>
    </row>
    <row r="15" ht="15" customHeight="1">
      <c r="B15" s="74" t="inlineStr">
        <is>
          <t>Dedicated Desks</t>
        </is>
      </c>
      <c r="C15" s="65">
        <f>ROUND(Input!C10*Input!C13*0.3,0)</f>
        <v/>
      </c>
      <c r="D15" s="66">
        <f>Input!C14*1.15</f>
        <v/>
      </c>
      <c r="E15" s="67" t="n">
        <v>1</v>
      </c>
      <c r="F15" s="68">
        <f>C15*D15*E15</f>
        <v/>
      </c>
      <c r="G15" s="69">
        <f>IF(F21=0,"-",F15/F21)</f>
        <v/>
      </c>
      <c r="H15" s="75" t="inlineStr">
        <is>
          <t>30% seats; 15% premium over hot-desk</t>
        </is>
      </c>
    </row>
    <row r="16" ht="15" customHeight="1">
      <c r="B16" s="74" t="inlineStr">
        <is>
          <t>Private Cabins (5 cabins × 4 seats)</t>
        </is>
      </c>
      <c r="C16" s="65">
        <f>ROUND(Input!C10*Input!C13*0.2,0)</f>
        <v/>
      </c>
      <c r="D16" s="66">
        <f>Input!C14*1.4</f>
        <v/>
      </c>
      <c r="E16" s="67" t="n">
        <v>1</v>
      </c>
      <c r="F16" s="68">
        <f>C16*D16*E16</f>
        <v/>
      </c>
      <c r="G16" s="69">
        <f>IF(F21=0,"-",F16/F21)</f>
        <v/>
      </c>
      <c r="H16" s="75" t="inlineStr">
        <is>
          <t>Private cabin premium 40%</t>
        </is>
      </c>
    </row>
    <row r="17" ht="15" customHeight="1">
      <c r="B17" s="74" t="inlineStr">
        <is>
          <t>Meeting Rooms (3 rooms)</t>
        </is>
      </c>
      <c r="C17" s="70" t="n">
        <v>60</v>
      </c>
      <c r="D17" s="71" t="n">
        <v>1200</v>
      </c>
      <c r="E17" s="67" t="n">
        <v>1</v>
      </c>
      <c r="F17" s="68">
        <f>C17*D17*E17</f>
        <v/>
      </c>
      <c r="G17" s="69">
        <f>IF(F21=0,"-",F17/F21)</f>
        <v/>
      </c>
      <c r="H17" s="76" t="inlineStr">
        <is>
          <t>3 rooms × 20 bookings/month — update units/price in this row directly</t>
        </is>
      </c>
    </row>
    <row r="18" ht="15" customHeight="1">
      <c r="B18" s="74" t="inlineStr">
        <is>
          <t>Virtual Office Memberships</t>
        </is>
      </c>
      <c r="C18" s="70" t="n">
        <v>30</v>
      </c>
      <c r="D18" s="71" t="n">
        <v>2000</v>
      </c>
      <c r="E18" s="67" t="n">
        <v>1</v>
      </c>
      <c r="F18" s="68">
        <f>C18*D18*E18</f>
        <v/>
      </c>
      <c r="G18" s="69">
        <f>IF(F21=0,"-",F18/F21)</f>
        <v/>
      </c>
      <c r="H18" s="75" t="inlineStr">
        <is>
          <t>30 virtual members @ ₹2k/month</t>
        </is>
      </c>
    </row>
    <row r="19" ht="15" customHeight="1">
      <c r="B19" s="74" t="inlineStr">
        <is>
          <t>Events &amp; Workshops</t>
        </is>
      </c>
      <c r="C19" s="70" t="n">
        <v>4</v>
      </c>
      <c r="D19" s="71" t="n">
        <v>15000</v>
      </c>
      <c r="E19" s="67" t="n">
        <v>1</v>
      </c>
      <c r="F19" s="68">
        <f>C19*D19*E19</f>
        <v/>
      </c>
      <c r="G19" s="69">
        <f>IF(F21=0,"-",F19/F21)</f>
        <v/>
      </c>
      <c r="H19" s="75" t="inlineStr">
        <is>
          <t>4 events/month avg</t>
        </is>
      </c>
    </row>
    <row r="20" ht="15" customHeight="1">
      <c r="B20" s="74" t="inlineStr">
        <is>
          <t>Workation Packages (weekly)</t>
        </is>
      </c>
      <c r="C20" s="70" t="n">
        <v>8</v>
      </c>
      <c r="D20" s="71" t="n">
        <v>12000</v>
      </c>
      <c r="E20" s="67" t="n">
        <v>1</v>
      </c>
      <c r="F20" s="68">
        <f>C20*D20*E20</f>
        <v/>
      </c>
      <c r="G20" s="69">
        <f>IF(F21=0,"-",F20/F21)</f>
        <v/>
      </c>
      <c r="H20" s="75" t="inlineStr">
        <is>
          <t>8 workation bookings/month</t>
        </is>
      </c>
    </row>
    <row r="21" ht="16.2" customHeight="1" thickBot="1">
      <c r="B21" s="77" t="inlineStr">
        <is>
          <t>TOTAL MONTHLY REVENUE</t>
        </is>
      </c>
      <c r="C21" s="78" t="n"/>
      <c r="D21" s="78" t="n"/>
      <c r="E21" s="78" t="n"/>
      <c r="F21" s="108">
        <f>SUM(F14:F20)</f>
        <v/>
      </c>
      <c r="G21" s="79">
        <f>SUM(G14:G20)</f>
        <v/>
      </c>
      <c r="H21" s="60" t="n"/>
    </row>
    <row r="22" ht="15" customHeight="1" thickBot="1"/>
    <row r="23" ht="15.6" customHeight="1">
      <c r="B23" s="607" t="inlineStr">
        <is>
          <t xml:space="preserve">  ANNUAL REVENUE INDICATORS</t>
        </is>
      </c>
      <c r="C23" s="598" t="n"/>
    </row>
    <row r="24" ht="15" customHeight="1">
      <c r="B24" s="74" t="inlineStr">
        <is>
          <t>Monthly Revenue</t>
        </is>
      </c>
      <c r="C24" s="80">
        <f>F21</f>
        <v/>
      </c>
    </row>
    <row r="25" ht="15" customHeight="1">
      <c r="B25" s="74" t="inlineStr">
        <is>
          <t>Annual Revenue (Yr 1)</t>
        </is>
      </c>
      <c r="C25" s="80">
        <f>F21*12</f>
        <v/>
      </c>
    </row>
    <row r="26" ht="15" customHeight="1">
      <c r="B26" s="74" t="inlineStr">
        <is>
          <t>Revenue per Occupied Seat</t>
        </is>
      </c>
      <c r="C26" s="80">
        <f>IF(C10=0,0,F21/C10)</f>
        <v/>
      </c>
    </row>
    <row r="27" ht="15" customHeight="1">
      <c r="B27" s="74" t="inlineStr">
        <is>
          <t>Revenue per Total Seat</t>
        </is>
      </c>
      <c r="C27" s="80">
        <f>IF(Input!C10=0,0,F21/Input!C10)</f>
        <v/>
      </c>
    </row>
    <row r="28" ht="15" customHeight="1">
      <c r="B28" s="74" t="inlineStr">
        <is>
          <t>Annual Revenue (Yr 2, +5%)</t>
        </is>
      </c>
      <c r="C28" s="80">
        <f>F21*12*(1+Input!C18)</f>
        <v/>
      </c>
    </row>
    <row r="29" ht="15" customHeight="1">
      <c r="B29" s="74" t="inlineStr">
        <is>
          <t>Annual Revenue (Yr 3, +5%)</t>
        </is>
      </c>
      <c r="C29" s="80">
        <f>F21*12*(1+Input!C18)^2</f>
        <v/>
      </c>
    </row>
    <row r="30" ht="15" customHeight="1">
      <c r="B30" s="81" t="inlineStr">
        <is>
          <t>Annual Revenue (Yr 4, +5%)</t>
        </is>
      </c>
      <c r="C30" s="82">
        <f>F21*12*(1+Input!C18)^3</f>
        <v/>
      </c>
    </row>
    <row r="31" ht="15" customHeight="1">
      <c r="B31" s="81" t="inlineStr">
        <is>
          <t>Annual Revenue (Yr 5, +5%)</t>
        </is>
      </c>
      <c r="C31" s="82">
        <f>F21*12*(1+Input!C18)^4</f>
        <v/>
      </c>
    </row>
    <row r="32" ht="15" customHeight="1">
      <c r="B32" s="81" t="inlineStr">
        <is>
          <t>5-Year Revenue CAGR</t>
        </is>
      </c>
      <c r="C32" s="83">
        <f>IFERROR((C31/C25)^(1/4)-1,0)</f>
        <v/>
      </c>
    </row>
    <row r="33" ht="15.6" customHeight="1" thickBot="1">
      <c r="B33" s="84" t="inlineStr">
        <is>
          <t>5-Year Cumulative Revenue</t>
        </is>
      </c>
      <c r="C33" s="85">
        <f>C25+C28+C29+C30+C31</f>
        <v/>
      </c>
    </row>
  </sheetData>
  <mergeCells count="5">
    <mergeCell ref="B5:D5"/>
    <mergeCell ref="B12:H12"/>
    <mergeCell ref="B23:C23"/>
    <mergeCell ref="B2:H2"/>
    <mergeCell ref="B3:H3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fitToHeight="0" horizontalDpi="300" verticalDpi="300"/>
</worksheet>
</file>

<file path=xl/worksheets/sheet6.xml><?xml version="1.0" encoding="utf-8"?>
<worksheet xmlns="http://schemas.openxmlformats.org/spreadsheetml/2006/main">
  <sheetPr codeName="Sheet4">
    <outlinePr summaryBelow="1" summaryRight="1"/>
    <pageSetUpPr fitToPage="1"/>
  </sheetPr>
  <dimension ref="B1:F84"/>
  <sheetViews>
    <sheetView showGridLines="0" tabSelected="1" zoomScale="85" zoomScaleNormal="85" workbookViewId="0">
      <selection activeCell="C7" sqref="C7"/>
    </sheetView>
  </sheetViews>
  <sheetFormatPr baseColWidth="8" defaultColWidth="8.6640625" defaultRowHeight="14.4"/>
  <cols>
    <col width="3" customWidth="1" min="1" max="1"/>
    <col width="42.44140625" bestFit="1" customWidth="1" min="2" max="2"/>
    <col width="27.109375" bestFit="1" customWidth="1" min="3" max="3"/>
    <col width="57.88671875" bestFit="1" customWidth="1" min="4" max="5"/>
    <col width="40.5546875" bestFit="1" customWidth="1" min="6" max="6"/>
  </cols>
  <sheetData>
    <row r="1" ht="21.6" customHeight="1" thickBot="1">
      <c r="B1" s="384" t="inlineStr">
        <is>
          <t>Navigation Tab</t>
        </is>
      </c>
    </row>
    <row r="2" ht="21" customHeight="1">
      <c r="B2" s="596" t="inlineStr">
        <is>
          <t>COST SHEET — CAPEX, FIXED &amp; VARIABLE COSTS (DYNAMIC)</t>
        </is>
      </c>
      <c r="C2" s="597" t="n"/>
      <c r="D2" s="597" t="n"/>
      <c r="E2" s="597" t="n"/>
      <c r="F2" s="598" t="n"/>
    </row>
    <row r="3" ht="18.6" customHeight="1" thickBot="1">
      <c r="B3" s="608" t="inlineStr">
        <is>
          <t>CAPEX &amp; operating costs update automatically when Scenario / Seats / Occupancy change in the Input sheet.</t>
        </is>
      </c>
      <c r="C3" s="600" t="n"/>
      <c r="D3" s="600" t="n"/>
      <c r="E3" s="600" t="n"/>
      <c r="F3" s="601" t="n"/>
    </row>
    <row r="4" ht="15" customHeight="1" thickBot="1"/>
    <row r="5" ht="17.4" customHeight="1">
      <c r="B5" s="147" t="inlineStr">
        <is>
          <t xml:space="preserve">  PART A — CAPITAL EXPENDITURE (CAPEX)</t>
        </is>
      </c>
      <c r="C5" s="148" t="n"/>
      <c r="D5" s="148" t="n"/>
      <c r="E5" s="148" t="n"/>
    </row>
    <row r="6" ht="15.6" customHeight="1">
      <c r="B6" s="94" t="inlineStr">
        <is>
          <t>CAPEX Component</t>
        </is>
      </c>
      <c r="C6" s="53" t="inlineStr">
        <is>
          <t>Value (₹)</t>
        </is>
      </c>
      <c r="D6" s="53" t="inlineStr">
        <is>
          <t>Notes</t>
        </is>
      </c>
      <c r="E6" s="95" t="inlineStr">
        <is>
          <t>Scenario</t>
        </is>
      </c>
    </row>
    <row r="7" ht="15" customHeight="1">
      <c r="B7" s="42" t="inlineStr">
        <is>
          <t>Interior Fit-out</t>
        </is>
      </c>
      <c r="C7" s="54">
        <f>Input!C12*Assumptions!E11</f>
        <v/>
      </c>
      <c r="D7" s="8" t="inlineStr">
        <is>
          <t>Total area × ₹1,750/sq ft</t>
        </is>
      </c>
      <c r="E7" s="96">
        <f>IF(Input!C6="Owned","Owned","Rent")</f>
        <v/>
      </c>
    </row>
    <row r="8" ht="15" customHeight="1">
      <c r="B8" s="42" t="inlineStr">
        <is>
          <t>Furniture &amp; Workstations</t>
        </is>
      </c>
      <c r="C8" s="54">
        <f>Input!C10*Assumptions!E12</f>
        <v/>
      </c>
      <c r="D8" s="8" t="inlineStr">
        <is>
          <t>Per seat × 100 seats</t>
        </is>
      </c>
      <c r="E8" s="96">
        <f>IF(Input!C6="Owned","Owned","Rent")</f>
        <v/>
      </c>
    </row>
    <row r="9" ht="15" customHeight="1">
      <c r="B9" s="42" t="inlineStr">
        <is>
          <t>IT &amp; Networking Setup</t>
        </is>
      </c>
      <c r="C9" s="54">
        <f>Assumptions!E13*100000</f>
        <v/>
      </c>
      <c r="D9" s="8" t="inlineStr">
        <is>
          <t>Servers, APs, switches</t>
        </is>
      </c>
      <c r="E9" s="96">
        <f>IF(Input!C6="Owned","Owned","Rent")</f>
        <v/>
      </c>
    </row>
    <row r="10" ht="15" customHeight="1">
      <c r="B10" s="42" t="inlineStr">
        <is>
          <t>Electrical, AC &amp; MEP</t>
        </is>
      </c>
      <c r="C10" s="54">
        <f>Assumptions!E14*100000</f>
        <v/>
      </c>
      <c r="D10" s="8" t="inlineStr">
        <is>
          <t>VRF AC + distribution</t>
        </is>
      </c>
      <c r="E10" s="96">
        <f>IF(Input!C6="Owned","Owned","Rent")</f>
        <v/>
      </c>
    </row>
    <row r="11" ht="15" customHeight="1">
      <c r="B11" s="42" t="inlineStr">
        <is>
          <t>Branding &amp; Signage</t>
        </is>
      </c>
      <c r="C11" s="54">
        <f>Assumptions!E15*100000</f>
        <v/>
      </c>
      <c r="D11" s="8" t="inlineStr">
        <is>
          <t>Interior + exterior</t>
        </is>
      </c>
      <c r="E11" s="96">
        <f>IF(Input!C6="Owned","Owned","Rent")</f>
        <v/>
      </c>
    </row>
    <row r="12" ht="15" customHeight="1">
      <c r="B12" s="42" t="inlineStr">
        <is>
          <t>Misc / Contingency</t>
        </is>
      </c>
      <c r="C12" s="54">
        <f>Assumptions!E16*100000</f>
        <v/>
      </c>
      <c r="D12" s="8" t="inlineStr">
        <is>
          <t>~5% buffer</t>
        </is>
      </c>
      <c r="E12" s="96">
        <f>IF(Input!C6="Owned","Owned","Rent")</f>
        <v/>
      </c>
    </row>
    <row r="13" ht="15" customHeight="1">
      <c r="B13" s="42" t="inlineStr">
        <is>
          <t>Security Deposit (Rent only)</t>
        </is>
      </c>
      <c r="C13" s="54">
        <f>IF(Input!C6="Rent",Input!C12*Assumptions!E8*Assumptions!E10,0)</f>
        <v/>
      </c>
      <c r="D13" s="8" t="inlineStr">
        <is>
          <t>Only applicable in Rent scenario</t>
        </is>
      </c>
      <c r="E13" s="96">
        <f>IF(Input!C6="Owned","Owned","Rent")</f>
        <v/>
      </c>
    </row>
    <row r="14" ht="15" customHeight="1">
      <c r="B14" s="42" t="inlineStr">
        <is>
          <t>Property Purchase (Owned only)</t>
        </is>
      </c>
      <c r="C14" s="54">
        <f>IF(Input!C6="Owned",Input!C12*Assumptions!E9,0)</f>
        <v/>
      </c>
      <c r="D14" s="8" t="inlineStr">
        <is>
          <t>Only applicable in Owned scenario</t>
        </is>
      </c>
      <c r="E14" s="96">
        <f>IF(Input!C6="Owned","Owned","Rent")</f>
        <v/>
      </c>
    </row>
    <row r="15" ht="15.6" customHeight="1">
      <c r="B15" s="97" t="inlineStr">
        <is>
          <t>TOTAL CAPEX</t>
        </is>
      </c>
      <c r="C15" s="57">
        <f>SUM(C7:C14)</f>
        <v/>
      </c>
      <c r="D15" s="56" t="n"/>
      <c r="E15" s="98" t="n"/>
    </row>
    <row r="16" ht="16.2" customHeight="1" thickBot="1">
      <c r="B16" s="44" t="inlineStr">
        <is>
          <t>CAPEX per Occupied Seat</t>
        </is>
      </c>
      <c r="C16" s="99">
        <f>IF(Input!C10=0,0,C15/Input!C10)</f>
        <v/>
      </c>
      <c r="D16" s="100" t="inlineStr">
        <is>
          <t>Total CAPEX / total seats</t>
        </is>
      </c>
      <c r="E16" s="60" t="n"/>
    </row>
    <row r="17" ht="16.2" customHeight="1" thickBot="1">
      <c r="B17" s="21" t="n"/>
      <c r="C17" s="21" t="n"/>
      <c r="D17" s="21" t="n"/>
      <c r="E17" s="21" t="n"/>
      <c r="F17" s="21" t="n"/>
    </row>
    <row r="18" ht="17.4" customHeight="1">
      <c r="B18" s="144" t="inlineStr">
        <is>
          <t xml:space="preserve">  PART B — FIXED MONTHLY OPERATING COSTS</t>
        </is>
      </c>
      <c r="C18" s="145" t="n"/>
      <c r="D18" s="146" t="n"/>
    </row>
    <row r="19" ht="15.6" customHeight="1">
      <c r="B19" s="94" t="inlineStr">
        <is>
          <t>Cost Item</t>
        </is>
      </c>
      <c r="C19" s="53" t="inlineStr">
        <is>
          <t>Monthly Cost (₹)</t>
        </is>
      </c>
      <c r="D19" s="95" t="inlineStr">
        <is>
          <t>Notes</t>
        </is>
      </c>
    </row>
    <row r="20" ht="15" customHeight="1">
      <c r="B20" s="42" t="inlineStr">
        <is>
          <t>Rent / Property Cost</t>
        </is>
      </c>
      <c r="C20" s="54">
        <f>IF(Input!C6="Rent",Input!C12*Assumptions!E8,IFERROR(Assumptions!E9*Input!C12*Assumptions!E22*(Input!C22/12)*(1+Input!C22/12)^(Input!C23*12)/((1+Input!C22/12)^(Input!C23*12)-1),0))</f>
        <v/>
      </c>
      <c r="D20" s="43" t="inlineStr">
        <is>
          <t>Rent: area × ₹65/sqft | Owned: EMI on 60% LTV</t>
        </is>
      </c>
    </row>
    <row r="21" ht="15" customHeight="1">
      <c r="B21" s="42" t="inlineStr">
        <is>
          <t xml:space="preserve">  Salaries — Manager (1)</t>
        </is>
      </c>
      <c r="C21" s="54">
        <f>Assumptions!E26</f>
        <v/>
      </c>
      <c r="D21" s="43" t="inlineStr">
        <is>
          <t>Centre manager</t>
        </is>
      </c>
    </row>
    <row r="22" ht="15" customHeight="1">
      <c r="B22" s="42" t="inlineStr">
        <is>
          <t xml:space="preserve">  Salaries — Front Desk (2)</t>
        </is>
      </c>
      <c r="C22" s="54">
        <f>Assumptions!E27*2</f>
        <v/>
      </c>
      <c r="D22" s="43" t="inlineStr">
        <is>
          <t>2 community hosts</t>
        </is>
      </c>
    </row>
    <row r="23" ht="15" customHeight="1">
      <c r="B23" s="42" t="inlineStr">
        <is>
          <t xml:space="preserve">  Salaries — IT Support</t>
        </is>
      </c>
      <c r="C23" s="54">
        <f>Assumptions!E28</f>
        <v/>
      </c>
      <c r="D23" s="43" t="inlineStr">
        <is>
          <t>Part-time IT</t>
        </is>
      </c>
    </row>
    <row r="24" ht="15" customHeight="1">
      <c r="B24" s="42" t="inlineStr">
        <is>
          <t xml:space="preserve">  Salaries — Housekeeping &amp; Security (3)</t>
        </is>
      </c>
      <c r="C24" s="54">
        <f>Assumptions!E29*3</f>
        <v/>
      </c>
      <c r="D24" s="43" t="inlineStr">
        <is>
          <t>3 staff</t>
        </is>
      </c>
    </row>
    <row r="25" ht="15" customHeight="1">
      <c r="B25" s="42" t="inlineStr">
        <is>
          <t xml:space="preserve">  Salaries — Marketing</t>
        </is>
      </c>
      <c r="C25" s="54">
        <f>Assumptions!E30</f>
        <v/>
      </c>
      <c r="D25" s="43" t="inlineStr">
        <is>
          <t>In-house</t>
        </is>
      </c>
    </row>
    <row r="26" ht="15" customHeight="1">
      <c r="B26" s="42" t="inlineStr">
        <is>
          <t xml:space="preserve">  Salaries — Admin/Accounts</t>
        </is>
      </c>
      <c r="C26" s="54">
        <f>Assumptions!E31</f>
        <v/>
      </c>
      <c r="D26" s="43" t="inlineStr">
        <is>
          <t>Part-time</t>
        </is>
      </c>
    </row>
    <row r="27" ht="15" customHeight="1">
      <c r="B27" s="42" t="inlineStr">
        <is>
          <t>Internet (Leased Line)</t>
        </is>
      </c>
      <c r="C27" s="54">
        <f>Assumptions!E34</f>
        <v/>
      </c>
      <c r="D27" s="43" t="inlineStr">
        <is>
          <t>1 Gbps</t>
        </is>
      </c>
    </row>
    <row r="28" ht="15" customHeight="1">
      <c r="B28" s="42" t="inlineStr">
        <is>
          <t>Electricity — Base Load</t>
        </is>
      </c>
      <c r="C28" s="54">
        <f>Assumptions!E35</f>
        <v/>
      </c>
      <c r="D28" s="43" t="inlineStr">
        <is>
          <t>Common area + AC base</t>
        </is>
      </c>
    </row>
    <row r="29" ht="15" customHeight="1">
      <c r="B29" s="42" t="inlineStr">
        <is>
          <t>Maintenance &amp; Upkeep</t>
        </is>
      </c>
      <c r="C29" s="54">
        <f>Assumptions!E36</f>
        <v/>
      </c>
      <c r="D29" s="43" t="inlineStr">
        <is>
          <t>Monthly repairs</t>
        </is>
      </c>
    </row>
    <row r="30" ht="15" customHeight="1">
      <c r="B30" s="42" t="inlineStr">
        <is>
          <t>Marketing &amp; Digital</t>
        </is>
      </c>
      <c r="C30" s="54">
        <f>Assumptions!E37</f>
        <v/>
      </c>
      <c r="D30" s="43" t="inlineStr">
        <is>
          <t>Ads + SEO</t>
        </is>
      </c>
    </row>
    <row r="31" ht="15" customHeight="1">
      <c r="B31" s="42" t="inlineStr">
        <is>
          <t>Admin &amp; Office Expenses</t>
        </is>
      </c>
      <c r="C31" s="54">
        <f>Assumptions!E38</f>
        <v/>
      </c>
      <c r="D31" s="43" t="inlineStr">
        <is>
          <t>Stationery, printing</t>
        </is>
      </c>
    </row>
    <row r="32" ht="15" customHeight="1">
      <c r="B32" s="42" t="inlineStr">
        <is>
          <t>Insurance</t>
        </is>
      </c>
      <c r="C32" s="54">
        <f>Assumptions!E39</f>
        <v/>
      </c>
      <c r="D32" s="43" t="inlineStr">
        <is>
          <t>CRE + asset</t>
        </is>
      </c>
    </row>
    <row r="33" ht="15" customHeight="1">
      <c r="B33" s="150" t="inlineStr">
        <is>
          <t>Misc Utilities</t>
        </is>
      </c>
      <c r="C33" s="151">
        <f>Assumptions!E40</f>
        <v/>
      </c>
      <c r="D33" s="152" t="inlineStr">
        <is>
          <t>Telephone, water, misc</t>
        </is>
      </c>
    </row>
    <row r="34" ht="16.2" customHeight="1" thickBot="1">
      <c r="B34" s="153" t="inlineStr">
        <is>
          <t>TOTAL FIXED MONTHLY COST</t>
        </is>
      </c>
      <c r="C34" s="154">
        <f>SUM(C20:C33)</f>
        <v/>
      </c>
      <c r="D34" s="155" t="n"/>
    </row>
    <row r="35" ht="16.2" customHeight="1" thickBot="1">
      <c r="B35" s="21" t="n"/>
      <c r="C35" s="21" t="n"/>
      <c r="D35" s="21" t="n"/>
      <c r="E35" s="21" t="n"/>
      <c r="F35" s="21" t="n"/>
    </row>
    <row r="36" ht="17.4" customHeight="1">
      <c r="B36" s="609" t="inlineStr">
        <is>
          <t xml:space="preserve">  PART C — VARIABLE COSTS (PER OCCUPIED SEAT)</t>
        </is>
      </c>
      <c r="C36" s="594" t="n"/>
      <c r="D36" s="595" t="n"/>
    </row>
    <row r="37" ht="15.6" customHeight="1">
      <c r="B37" s="94" t="inlineStr">
        <is>
          <t>Variable Cost Item</t>
        </is>
      </c>
      <c r="C37" s="53" t="inlineStr">
        <is>
          <t>₹ per seat/month</t>
        </is>
      </c>
      <c r="D37" s="95" t="inlineStr">
        <is>
          <t>Notes</t>
        </is>
      </c>
    </row>
    <row r="38" ht="15" customHeight="1">
      <c r="B38" s="42" t="inlineStr">
        <is>
          <t>Electricity (usage-based)</t>
        </is>
      </c>
      <c r="C38" s="54">
        <f>Assumptions!E43</f>
        <v/>
      </c>
      <c r="D38" s="43" t="inlineStr">
        <is>
          <t>Per active seat</t>
        </is>
      </c>
    </row>
    <row r="39" ht="15" customHeight="1">
      <c r="B39" s="42" t="inlineStr">
        <is>
          <t>Pantry &amp; Beverages</t>
        </is>
      </c>
      <c r="C39" s="54">
        <f>Assumptions!E44</f>
        <v/>
      </c>
      <c r="D39" s="43" t="inlineStr">
        <is>
          <t>Tea, coffee, snacks</t>
        </is>
      </c>
    </row>
    <row r="40" ht="15" customHeight="1">
      <c r="B40" s="42" t="inlineStr">
        <is>
          <t>Incremental Cleaning</t>
        </is>
      </c>
      <c r="C40" s="54">
        <f>Assumptions!E45</f>
        <v/>
      </c>
      <c r="D40" s="43" t="inlineStr">
        <is>
          <t>Cleaning per user</t>
        </is>
      </c>
    </row>
    <row r="41" ht="15" customHeight="1">
      <c r="B41" s="42" t="inlineStr">
        <is>
          <t>Internet (bandwidth alloc)</t>
        </is>
      </c>
      <c r="C41" s="54">
        <f>Assumptions!E46</f>
        <v/>
      </c>
      <c r="D41" s="43" t="inlineStr">
        <is>
          <t>Per user bandwidth</t>
        </is>
      </c>
    </row>
    <row r="42" ht="15" customHeight="1">
      <c r="B42" s="42" t="inlineStr">
        <is>
          <t>Stationery &amp; Consumables</t>
        </is>
      </c>
      <c r="C42" s="54">
        <f>Assumptions!E47</f>
        <v/>
      </c>
      <c r="D42" s="43" t="inlineStr">
        <is>
          <t>Per active user</t>
        </is>
      </c>
    </row>
    <row r="43" ht="16.2" customHeight="1" thickBot="1">
      <c r="B43" s="58" t="inlineStr">
        <is>
          <t>TOTAL VARIABLE COST per Seat</t>
        </is>
      </c>
      <c r="C43" s="59">
        <f>SUM(C38:C42)</f>
        <v/>
      </c>
      <c r="D43" s="101" t="n"/>
    </row>
    <row r="44" ht="16.2" customHeight="1" thickBot="1">
      <c r="B44" s="21" t="n"/>
      <c r="C44" s="21" t="n"/>
      <c r="D44" s="21" t="n"/>
      <c r="E44" s="21" t="n"/>
    </row>
    <row r="45" ht="17.4" customHeight="1">
      <c r="B45" s="609" t="inlineStr">
        <is>
          <t xml:space="preserve">  PART D — TOTAL MONTHLY COST CALCULATION</t>
        </is>
      </c>
      <c r="C45" s="594" t="n"/>
      <c r="D45" s="595" t="n"/>
    </row>
    <row r="46" ht="15.6" customHeight="1">
      <c r="B46" s="94" t="inlineStr">
        <is>
          <t>Cost Summary Item</t>
        </is>
      </c>
      <c r="C46" s="53" t="inlineStr">
        <is>
          <t>Value (₹)</t>
        </is>
      </c>
      <c r="D46" s="95" t="inlineStr">
        <is>
          <t>Notes</t>
        </is>
      </c>
    </row>
    <row r="47" ht="15" customHeight="1">
      <c r="B47" s="156" t="inlineStr">
        <is>
          <t>Total Installed Seats</t>
        </is>
      </c>
      <c r="C47" s="86">
        <f>Input!C10</f>
        <v/>
      </c>
      <c r="D47" s="43" t="inlineStr">
        <is>
          <t>From Input sheet</t>
        </is>
      </c>
    </row>
    <row r="48" ht="15" customHeight="1">
      <c r="B48" s="156" t="inlineStr">
        <is>
          <t>Occupancy Rate (%)</t>
        </is>
      </c>
      <c r="C48" s="55">
        <f>Input!C13</f>
        <v/>
      </c>
      <c r="D48" s="43" t="inlineStr">
        <is>
          <t>From Input sheet</t>
        </is>
      </c>
    </row>
    <row r="49" ht="15" customHeight="1">
      <c r="B49" s="156" t="inlineStr">
        <is>
          <t>Occupied Seats (month)</t>
        </is>
      </c>
      <c r="C49" s="86">
        <f>Input!C10*Input!C13</f>
        <v/>
      </c>
      <c r="D49" s="43" t="inlineStr">
        <is>
          <t>Seats × Occupancy</t>
        </is>
      </c>
    </row>
    <row r="50" ht="15" customHeight="1">
      <c r="B50" s="156" t="inlineStr">
        <is>
          <t>Variable Cost per Seat (₹)</t>
        </is>
      </c>
      <c r="C50" s="54">
        <f>C43</f>
        <v/>
      </c>
      <c r="D50" s="43" t="inlineStr">
        <is>
          <t>From Part C above</t>
        </is>
      </c>
    </row>
    <row r="51" ht="15" customHeight="1">
      <c r="B51" s="156" t="inlineStr">
        <is>
          <t>Total Variable Cost</t>
        </is>
      </c>
      <c r="C51" s="54">
        <f>C49*C50</f>
        <v/>
      </c>
      <c r="D51" s="43" t="inlineStr">
        <is>
          <t>Occupied seats × var cost</t>
        </is>
      </c>
    </row>
    <row r="52" ht="15" customHeight="1">
      <c r="B52" s="156" t="inlineStr">
        <is>
          <t>Total Fixed Cost</t>
        </is>
      </c>
      <c r="C52" s="54">
        <f>C34</f>
        <v/>
      </c>
      <c r="D52" s="43" t="inlineStr">
        <is>
          <t>From Part B above</t>
        </is>
      </c>
    </row>
    <row r="53" ht="15.6" customHeight="1">
      <c r="B53" s="97" t="inlineStr">
        <is>
          <t>TOTAL MONTHLY COST</t>
        </is>
      </c>
      <c r="C53" s="87">
        <f>C51+C52</f>
        <v/>
      </c>
      <c r="D53" s="43" t="inlineStr">
        <is>
          <t>Fixed + Variable</t>
        </is>
      </c>
    </row>
    <row r="54" ht="15" customHeight="1">
      <c r="B54" s="156" t="inlineStr">
        <is>
          <t>Cost per Occupied Seat</t>
        </is>
      </c>
      <c r="C54" s="54">
        <f>IF(C49=0,0,C53/C49)</f>
        <v/>
      </c>
      <c r="D54" s="43" t="inlineStr">
        <is>
          <t>Monthly cost per paying member</t>
        </is>
      </c>
    </row>
    <row r="55" ht="15.6" customHeight="1" thickBot="1">
      <c r="B55" s="157" t="inlineStr">
        <is>
          <t>Cost per Total Seat</t>
        </is>
      </c>
      <c r="C55" s="158">
        <f>IF(Input!C10=0,0,C53/Input!C10)</f>
        <v/>
      </c>
      <c r="D55" s="47" t="inlineStr">
        <is>
          <t>Fully loaded cost</t>
        </is>
      </c>
    </row>
    <row r="56" ht="16.2" customHeight="1" thickBot="1">
      <c r="B56" s="21" t="n"/>
      <c r="C56" s="21" t="n"/>
      <c r="D56" s="21" t="n"/>
      <c r="E56" s="21" t="n"/>
    </row>
    <row r="57" ht="17.4" customHeight="1">
      <c r="B57" s="147" t="inlineStr">
        <is>
          <t xml:space="preserve">  PART E — MONTHLY PROFITABILITY SNAPSHOT</t>
        </is>
      </c>
      <c r="C57" s="148" t="n"/>
      <c r="D57" s="149" t="n"/>
    </row>
    <row r="58" ht="15.6" customHeight="1">
      <c r="B58" s="94" t="inlineStr">
        <is>
          <t>KPI</t>
        </is>
      </c>
      <c r="C58" s="53" t="inlineStr">
        <is>
          <t>Value (₹)</t>
        </is>
      </c>
      <c r="D58" s="95" t="inlineStr">
        <is>
          <t>Notes</t>
        </is>
      </c>
    </row>
    <row r="59" ht="15" customHeight="1">
      <c r="B59" s="156" t="inlineStr">
        <is>
          <t>Total Monthly Revenue</t>
        </is>
      </c>
      <c r="C59" s="54">
        <f>Revenue!F21</f>
        <v/>
      </c>
      <c r="D59" s="43" t="inlineStr">
        <is>
          <t>From Revenue sheet</t>
        </is>
      </c>
    </row>
    <row r="60" ht="15" customHeight="1">
      <c r="B60" s="156" t="inlineStr">
        <is>
          <t>Total Monthly Cost</t>
        </is>
      </c>
      <c r="C60" s="54">
        <f>C53</f>
        <v/>
      </c>
      <c r="D60" s="43" t="inlineStr">
        <is>
          <t>From Part D</t>
        </is>
      </c>
    </row>
    <row r="61" ht="15.6" customHeight="1">
      <c r="B61" s="159" t="inlineStr">
        <is>
          <t>Gross Operating Profit</t>
        </is>
      </c>
      <c r="C61" s="88">
        <f>C59-C60</f>
        <v/>
      </c>
      <c r="D61" s="43" t="inlineStr">
        <is>
          <t>Revenue – Costs</t>
        </is>
      </c>
    </row>
    <row r="62" ht="15" customHeight="1">
      <c r="B62" s="156" t="inlineStr">
        <is>
          <t>Operating Margin (%)</t>
        </is>
      </c>
      <c r="C62" s="55">
        <f>IF(C59=0,0,(C59-C60)/C59)</f>
        <v/>
      </c>
      <c r="D62" s="43" t="inlineStr">
        <is>
          <t>Gross margin %</t>
        </is>
      </c>
    </row>
    <row r="63" ht="15" customHeight="1">
      <c r="B63" s="156" t="inlineStr">
        <is>
          <t>Monthly Depreciation</t>
        </is>
      </c>
      <c r="C63" s="54">
        <f>(C7*Assumptions!E19+C8*Assumptions!E20+C9*Assumptions!E21)/12</f>
        <v/>
      </c>
      <c r="D63" s="28" t="inlineStr">
        <is>
          <t>Year 1 monthly dep (WDV/SLM blend on CAPEX assets)</t>
        </is>
      </c>
    </row>
    <row r="64" ht="15" customHeight="1">
      <c r="B64" s="156" t="inlineStr">
        <is>
          <t>EBITDA</t>
        </is>
      </c>
      <c r="C64" s="54">
        <f>C61</f>
        <v/>
      </c>
      <c r="D64" s="43" t="inlineStr">
        <is>
          <t>Before dep &amp; interest (=GOP)</t>
        </is>
      </c>
    </row>
    <row r="65" ht="15" customHeight="1">
      <c r="B65" s="156" t="inlineStr">
        <is>
          <t>EBIT (after depreciation)</t>
        </is>
      </c>
      <c r="C65" s="54">
        <f>C61-C63</f>
        <v/>
      </c>
      <c r="D65" s="43" t="inlineStr">
        <is>
          <t>Operating profit after dep</t>
        </is>
      </c>
    </row>
    <row r="66" ht="15" customHeight="1">
      <c r="B66" s="156" t="inlineStr">
        <is>
          <t>Interest (if financed)</t>
        </is>
      </c>
      <c r="C66" s="54">
        <f>C15*Assumptions!E22*Input!C22/12</f>
        <v/>
      </c>
      <c r="D66" s="43" t="inlineStr">
        <is>
          <t>First-year interest approx</t>
        </is>
      </c>
    </row>
    <row r="67" ht="15" customHeight="1">
      <c r="B67" s="156" t="inlineStr">
        <is>
          <t>PBT (Pre-tax Profit)</t>
        </is>
      </c>
      <c r="C67" s="54">
        <f>C65-C66</f>
        <v/>
      </c>
      <c r="D67" s="43" t="inlineStr">
        <is>
          <t>Profit before tax</t>
        </is>
      </c>
    </row>
    <row r="68" ht="15" customHeight="1">
      <c r="B68" s="156" t="inlineStr">
        <is>
          <t>Tax (25%)</t>
        </is>
      </c>
      <c r="C68" s="54">
        <f>MAX(0,C67*Input!C21)</f>
        <v/>
      </c>
      <c r="D68" s="43" t="inlineStr">
        <is>
          <t>Corporate tax</t>
        </is>
      </c>
    </row>
    <row r="69" ht="15.6" customHeight="1">
      <c r="B69" s="159" t="inlineStr">
        <is>
          <t>PAT (Net Profit)</t>
        </is>
      </c>
      <c r="C69" s="88">
        <f>C67-C68</f>
        <v/>
      </c>
      <c r="D69" s="43" t="inlineStr">
        <is>
          <t>Profit after tax</t>
        </is>
      </c>
    </row>
    <row r="70" ht="15" customHeight="1">
      <c r="B70" s="156" t="inlineStr">
        <is>
          <t>Net Margin (%)</t>
        </is>
      </c>
      <c r="C70" s="55">
        <f>IF(C59=0,0,C69/C59)</f>
        <v/>
      </c>
      <c r="D70" s="43" t="inlineStr">
        <is>
          <t>Net profit margin</t>
        </is>
      </c>
    </row>
    <row r="71" ht="15" customHeight="1">
      <c r="B71" s="156" t="inlineStr">
        <is>
          <t>Annual PAT</t>
        </is>
      </c>
      <c r="C71" s="54">
        <f>C69*12</f>
        <v/>
      </c>
      <c r="D71" s="43" t="inlineStr">
        <is>
          <t>Annualised PAT</t>
        </is>
      </c>
    </row>
    <row r="72" ht="15.6" customHeight="1">
      <c r="B72" s="159" t="inlineStr">
        <is>
          <t>Payback Period (years)</t>
        </is>
      </c>
      <c r="C72" s="89">
        <f>IF(C69&lt;=0,"N/A (loss-making)",C15/C71)</f>
        <v/>
      </c>
      <c r="D72" s="43" t="inlineStr">
        <is>
          <t>CAPEX / Annual PAT</t>
        </is>
      </c>
    </row>
    <row r="73" ht="15.6" customHeight="1">
      <c r="B73" s="160" t="inlineStr">
        <is>
          <t xml:space="preserve">  MODEL INTEGRITY CHECKS</t>
        </is>
      </c>
      <c r="C73" s="102" t="n"/>
      <c r="D73" s="161" t="n"/>
    </row>
    <row r="74" ht="15" customHeight="1">
      <c r="B74" s="61" t="inlineStr">
        <is>
          <t>Revenue ties to Rev_Model Yr1</t>
        </is>
      </c>
      <c r="C74" s="90">
        <f>IF(ABS(Revenue!F21*12-'Revenue Model'!C14)&lt;1,"✓ Match","⚠ Mismatch")</f>
        <v/>
      </c>
      <c r="D74" s="105" t="inlineStr">
        <is>
          <t>Revenue!F21×12 vs Rev_Model C14</t>
        </is>
      </c>
    </row>
    <row r="75" ht="15.6" customHeight="1" thickBot="1">
      <c r="B75" s="48" t="inlineStr">
        <is>
          <t>Cost Part D = Fixed + Variable</t>
        </is>
      </c>
      <c r="C75" s="162">
        <f>IF(ABS(C53-(C34+C51))&lt;1,"✓ Match","⚠ Mismatch")</f>
        <v/>
      </c>
      <c r="D75" s="51" t="inlineStr">
        <is>
          <t>D53 = D34 + D51 cross-check</t>
        </is>
      </c>
    </row>
    <row r="76" ht="16.2" customHeight="1" thickBot="1">
      <c r="B76" s="21" t="n"/>
      <c r="C76" s="21" t="n"/>
      <c r="D76" s="21" t="n"/>
      <c r="E76" s="21" t="n"/>
      <c r="F76" s="21" t="n"/>
    </row>
    <row r="77" ht="17.4" customHeight="1">
      <c r="B77" s="456" t="inlineStr">
        <is>
          <t xml:space="preserve">  PART F — FINANCING SCHEDULE (ANNUAL, YEAR 1)</t>
        </is>
      </c>
      <c r="C77" s="594" t="n"/>
      <c r="D77" s="594" t="n"/>
      <c r="E77" s="603" t="n"/>
    </row>
    <row r="78" ht="15.6" customHeight="1">
      <c r="B78" s="103" t="inlineStr">
        <is>
          <t>Item</t>
        </is>
      </c>
      <c r="C78" s="420" t="inlineStr">
        <is>
          <t>Annual Amount (₹)</t>
        </is>
      </c>
      <c r="D78" s="420" t="inlineStr">
        <is>
          <t>Monthly Amount (₹)</t>
        </is>
      </c>
      <c r="E78" s="104" t="inlineStr">
        <is>
          <t>Notes</t>
        </is>
      </c>
    </row>
    <row r="79" ht="15" customHeight="1">
      <c r="B79" s="61" t="inlineStr">
        <is>
          <t>Total Loan Amount (60% of CAPEX)</t>
        </is>
      </c>
      <c r="C79" s="92">
        <f>C15*Assumptions!E22</f>
        <v/>
      </c>
      <c r="D79" s="12">
        <f>C15*Assumptions!E22/12</f>
        <v/>
      </c>
      <c r="E79" s="105" t="inlineStr">
        <is>
          <t>CAPEX × LTV ratio</t>
        </is>
      </c>
    </row>
    <row r="80" ht="15" customHeight="1">
      <c r="B80" s="61" t="inlineStr">
        <is>
          <t>Annual Loan EMI (Principal + Interest)</t>
        </is>
      </c>
      <c r="C80" s="92">
        <f>C20*12</f>
        <v/>
      </c>
      <c r="D80" s="12">
        <f>C20</f>
        <v/>
      </c>
      <c r="E80" s="105" t="inlineStr">
        <is>
          <t>Monthly EMI × 12</t>
        </is>
      </c>
    </row>
    <row r="81" ht="15" customHeight="1">
      <c r="B81" s="61" t="inlineStr">
        <is>
          <t>Interest Component — Year 1</t>
        </is>
      </c>
      <c r="C81" s="92">
        <f>C15*Assumptions!E22*Input!C22</f>
        <v/>
      </c>
      <c r="D81" s="12">
        <f>C15*Assumptions!E22*Input!C22/12</f>
        <v/>
      </c>
      <c r="E81" s="105" t="inlineStr">
        <is>
          <t>Loan × rate</t>
        </is>
      </c>
    </row>
    <row r="82" ht="15" customHeight="1">
      <c r="B82" s="61" t="inlineStr">
        <is>
          <t>Principal Repayment — Year 1</t>
        </is>
      </c>
      <c r="C82" s="92">
        <f>C20*12-C15*Assumptions!E22*Input!C22</f>
        <v/>
      </c>
      <c r="D82" s="12">
        <f>(C20*12-C15*Assumptions!E22*Input!C22)/12</f>
        <v/>
      </c>
      <c r="E82" s="105" t="inlineStr">
        <is>
          <t>EMI – Interest</t>
        </is>
      </c>
    </row>
    <row r="83" ht="15.6" customHeight="1">
      <c r="B83" s="61" t="inlineStr">
        <is>
          <t>Closing Loan Balance (end Yr 1)</t>
        </is>
      </c>
      <c r="C83" s="92">
        <f>C15*Assumptions!E22-(C20*12-C15*Assumptions!E22*Input!C22)</f>
        <v/>
      </c>
      <c r="D83" s="93" t="inlineStr">
        <is>
          <t>-</t>
        </is>
      </c>
      <c r="E83" s="105" t="inlineStr">
        <is>
          <t>Opening loan – principal repaid</t>
        </is>
      </c>
    </row>
    <row r="84" ht="16.2" customHeight="1" thickBot="1">
      <c r="B84" s="48" t="inlineStr">
        <is>
          <t>Equity / Owner Contribution (40%)</t>
        </is>
      </c>
      <c r="C84" s="106">
        <f>C15*(1-Assumptions!E22)</f>
        <v/>
      </c>
      <c r="D84" s="107" t="inlineStr">
        <is>
          <t>-</t>
        </is>
      </c>
      <c r="E84" s="51" t="inlineStr">
        <is>
          <t>CAPEX × (1 – LTV)</t>
        </is>
      </c>
    </row>
  </sheetData>
  <mergeCells count="5">
    <mergeCell ref="B36:D36"/>
    <mergeCell ref="B2:F2"/>
    <mergeCell ref="B45:D45"/>
    <mergeCell ref="B3:F3"/>
    <mergeCell ref="B77:E77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fitToHeight="0" horizontalDpi="300" verticalDpi="300"/>
</worksheet>
</file>

<file path=xl/worksheets/sheet7.xml><?xml version="1.0" encoding="utf-8"?>
<worksheet xmlns="http://schemas.openxmlformats.org/spreadsheetml/2006/main">
  <sheetPr codeName="Sheet5">
    <outlinePr summaryBelow="1" summaryRight="1"/>
    <pageSetUpPr fitToPage="1"/>
  </sheetPr>
  <dimension ref="B1:H54"/>
  <sheetViews>
    <sheetView showGridLines="0" zoomScale="85" zoomScaleNormal="85" workbookViewId="0">
      <selection activeCell="B54" sqref="B54"/>
    </sheetView>
  </sheetViews>
  <sheetFormatPr baseColWidth="8" defaultColWidth="8.6640625" defaultRowHeight="14.4"/>
  <cols>
    <col width="3" customWidth="1" min="1" max="1"/>
    <col width="57" customWidth="1" min="2" max="2"/>
    <col width="20" customWidth="1" min="3" max="3"/>
    <col width="18" customWidth="1" min="4" max="4"/>
    <col width="21.6640625" bestFit="1" customWidth="1" min="5" max="5"/>
    <col width="21" customWidth="1" min="6" max="6"/>
    <col width="18" customWidth="1" min="7" max="7"/>
    <col width="10.109375" customWidth="1" min="8" max="8"/>
  </cols>
  <sheetData>
    <row r="1" ht="21.6" customHeight="1" thickBot="1">
      <c r="B1" s="384" t="inlineStr">
        <is>
          <t>Navigation Tab</t>
        </is>
      </c>
    </row>
    <row r="2" ht="21" customHeight="1">
      <c r="B2" s="610" t="inlineStr">
        <is>
          <t>OCCUPANCY &amp; CAPACITY ANALYSIS</t>
        </is>
      </c>
      <c r="C2" s="597" t="n"/>
      <c r="D2" s="597" t="n"/>
      <c r="E2" s="597" t="n"/>
      <c r="F2" s="597" t="n"/>
      <c r="G2" s="598" t="n"/>
    </row>
    <row r="3" ht="18" customHeight="1" thickBot="1">
      <c r="B3" s="611" t="inlineStr">
        <is>
          <t>Scenario matrix for 40% / 60% / 80% occupancy — all values linked to Input &amp; Costs sheets</t>
        </is>
      </c>
      <c r="C3" s="600" t="n"/>
      <c r="D3" s="600" t="n"/>
      <c r="E3" s="600" t="n"/>
      <c r="F3" s="600" t="n"/>
      <c r="G3" s="601" t="n"/>
    </row>
    <row r="4" ht="15" customHeight="1" thickBot="1"/>
    <row r="5" ht="17.4" customHeight="1">
      <c r="B5" s="125" t="inlineStr">
        <is>
          <t xml:space="preserve">  SECTION A — CAPACITY SUMMARY</t>
        </is>
      </c>
      <c r="C5" s="126" t="n"/>
      <c r="D5" s="127" t="n"/>
    </row>
    <row r="6" ht="15.6" customHeight="1">
      <c r="B6" s="128" t="inlineStr">
        <is>
          <t>Parameter</t>
        </is>
      </c>
      <c r="C6" s="122" t="inlineStr">
        <is>
          <t>Value</t>
        </is>
      </c>
      <c r="D6" s="129" t="inlineStr">
        <is>
          <t>Unit</t>
        </is>
      </c>
    </row>
    <row r="7" ht="15" customHeight="1">
      <c r="B7" s="130" t="inlineStr">
        <is>
          <t>Total Installed Seats</t>
        </is>
      </c>
      <c r="C7" s="114">
        <f>Input!C10</f>
        <v/>
      </c>
      <c r="D7" s="131" t="inlineStr">
        <is>
          <t>seats</t>
        </is>
      </c>
      <c r="E7" s="143" t="n"/>
    </row>
    <row r="8" ht="15" customHeight="1">
      <c r="B8" s="130" t="inlineStr">
        <is>
          <t>Total Leasable Area</t>
        </is>
      </c>
      <c r="C8" s="114">
        <f>Input!C12</f>
        <v/>
      </c>
      <c r="D8" s="131" t="inlineStr">
        <is>
          <t>sq ft</t>
        </is>
      </c>
      <c r="E8" s="143" t="n"/>
    </row>
    <row r="9" ht="15" customHeight="1">
      <c r="B9" s="130" t="inlineStr">
        <is>
          <t>Area per Seat</t>
        </is>
      </c>
      <c r="C9" s="114">
        <f>Input!C12/Input!C10</f>
        <v/>
      </c>
      <c r="D9" s="131" t="inlineStr">
        <is>
          <t>sq ft</t>
        </is>
      </c>
      <c r="E9" s="143" t="n"/>
    </row>
    <row r="10" ht="15" customHeight="1">
      <c r="B10" s="130" t="inlineStr">
        <is>
          <t>Current Occupancy Setting</t>
        </is>
      </c>
      <c r="C10" s="116">
        <f>Input!C13</f>
        <v/>
      </c>
      <c r="D10" s="131" t="inlineStr">
        <is>
          <t>%</t>
        </is>
      </c>
      <c r="E10" s="143" t="n"/>
    </row>
    <row r="11" ht="15" customHeight="1">
      <c r="B11" s="130" t="inlineStr">
        <is>
          <t>Currently Occupied Seats</t>
        </is>
      </c>
      <c r="C11" s="114">
        <f>Input!C10*Input!C13</f>
        <v/>
      </c>
      <c r="D11" s="131" t="inlineStr">
        <is>
          <t>seats</t>
        </is>
      </c>
      <c r="E11" s="143" t="n"/>
    </row>
    <row r="12" ht="15" customHeight="1">
      <c r="B12" s="130" t="inlineStr">
        <is>
          <t>Currently Unoccupied Seats</t>
        </is>
      </c>
      <c r="C12" s="114">
        <f>Input!C10-Input!C10*Input!C13</f>
        <v/>
      </c>
      <c r="D12" s="131" t="inlineStr">
        <is>
          <t>seats</t>
        </is>
      </c>
      <c r="E12" s="143" t="n"/>
    </row>
    <row r="13" ht="15" customHeight="1">
      <c r="B13" s="130" t="inlineStr">
        <is>
          <t>Revenue per Occupied Seat/mo</t>
        </is>
      </c>
      <c r="C13" s="118">
        <f>IFERROR(Revenue!F21/(Input!C10*Input!C13),0)</f>
        <v/>
      </c>
      <c r="D13" s="131" t="inlineStr">
        <is>
          <t>₹/seat</t>
        </is>
      </c>
      <c r="E13" s="143" t="n"/>
    </row>
    <row r="14" ht="15.6" customHeight="1" thickBot="1">
      <c r="B14" s="33" t="inlineStr">
        <is>
          <t>Cost per Occupied Seat/mo</t>
        </is>
      </c>
      <c r="C14" s="132">
        <f>IFERROR('Cost sheet'!C53/(Input!C10*Input!C13),0)</f>
        <v/>
      </c>
      <c r="D14" s="36" t="inlineStr">
        <is>
          <t>₹/seat</t>
        </is>
      </c>
      <c r="E14" s="143" t="n"/>
    </row>
    <row r="15" ht="15" customHeight="1" thickBot="1"/>
    <row r="16" ht="17.4" customHeight="1">
      <c r="B16" s="612" t="inlineStr">
        <is>
          <t xml:space="preserve">  SECTION B — OCCUPANCY SCENARIO MATRIX</t>
        </is>
      </c>
      <c r="C16" s="594" t="n"/>
      <c r="D16" s="594" t="n"/>
      <c r="E16" s="594" t="n"/>
      <c r="F16" s="595" t="n"/>
    </row>
    <row r="17" ht="31.2" customHeight="1">
      <c r="B17" s="128" t="inlineStr">
        <is>
          <t>Metric</t>
        </is>
      </c>
      <c r="C17" s="122" t="inlineStr">
        <is>
          <t>40% Occupancy</t>
        </is>
      </c>
      <c r="D17" s="122" t="inlineStr">
        <is>
          <t>60% Occupancy</t>
        </is>
      </c>
      <c r="E17" s="122" t="inlineStr">
        <is>
          <t>80% Occupancy</t>
        </is>
      </c>
      <c r="F17" s="133" t="inlineStr">
        <is>
          <t>Active Scenario</t>
        </is>
      </c>
    </row>
    <row r="18" ht="15" customHeight="1">
      <c r="B18" s="61" t="inlineStr">
        <is>
          <t>Occupied Seats</t>
        </is>
      </c>
      <c r="C18" s="113">
        <f>ROUND(Input!C10*0.4,0)</f>
        <v/>
      </c>
      <c r="D18" s="113">
        <f>ROUND(Input!C10*0.6,0)</f>
        <v/>
      </c>
      <c r="E18" s="113">
        <f>ROUND(Input!C10*0.8,0)</f>
        <v/>
      </c>
      <c r="F18" s="134">
        <f>IF(Input!C13=0.4,C18,IF(Input!C13=0.6,D18,E18))</f>
        <v/>
      </c>
    </row>
    <row r="19" ht="15" customHeight="1">
      <c r="B19" s="61" t="inlineStr">
        <is>
          <t>Unoccupied Seats</t>
        </is>
      </c>
      <c r="C19" s="113">
        <f>Input!C10-C18</f>
        <v/>
      </c>
      <c r="D19" s="113">
        <f>Input!C10-D18</f>
        <v/>
      </c>
      <c r="E19" s="113">
        <f>Input!C10-E18</f>
        <v/>
      </c>
      <c r="F19" s="134">
        <f>IF(Input!C13=0.4,C19,IF(Input!C13=0.6,D19,E19))</f>
        <v/>
      </c>
    </row>
    <row r="20" ht="15" customHeight="1">
      <c r="B20" s="61" t="inlineStr">
        <is>
          <t>Utilisation Rate</t>
        </is>
      </c>
      <c r="C20" s="115">
        <f>40%</f>
        <v/>
      </c>
      <c r="D20" s="115">
        <f>60%</f>
        <v/>
      </c>
      <c r="E20" s="115">
        <f>80%</f>
        <v/>
      </c>
      <c r="F20" s="135">
        <f>IF(Input!C13=0.4,C20,IF(Input!C13=0.6,D20,E20))</f>
        <v/>
      </c>
    </row>
    <row r="21" ht="15" customHeight="1">
      <c r="B21" s="61" t="inlineStr">
        <is>
          <t>Hot Desk Monthly Revenue</t>
        </is>
      </c>
      <c r="C21" s="117">
        <f>ROUND(Input!C10*0.4*0.45,0)*Input!C14</f>
        <v/>
      </c>
      <c r="D21" s="117">
        <f>ROUND(Input!C10*0.6*0.45,0)*Input!C14</f>
        <v/>
      </c>
      <c r="E21" s="117">
        <f>ROUND(Input!C10*0.8*0.45,0)*Input!C14</f>
        <v/>
      </c>
      <c r="F21" s="136">
        <f>IF(Input!C13=0.4,C21,IF(Input!C13=0.6,D21,E21))</f>
        <v/>
      </c>
    </row>
    <row r="22" ht="15" customHeight="1">
      <c r="B22" s="61" t="inlineStr">
        <is>
          <t>Dedicated Desk Monthly Revenue</t>
        </is>
      </c>
      <c r="C22" s="117">
        <f>ROUND(Input!C10*0.4*0.3,0)*Input!C14*1.15</f>
        <v/>
      </c>
      <c r="D22" s="117">
        <f>ROUND(Input!C10*0.6*0.3,0)*Input!C14*1.15</f>
        <v/>
      </c>
      <c r="E22" s="117">
        <f>ROUND(Input!C10*0.8*0.3,0)*Input!C14*1.15</f>
        <v/>
      </c>
      <c r="F22" s="136">
        <f>IF(Input!C13=0.4,C22,IF(Input!C13=0.6,D22,E22))</f>
        <v/>
      </c>
    </row>
    <row r="23" ht="15" customHeight="1">
      <c r="B23" s="61" t="inlineStr">
        <is>
          <t>Private Cabin Monthly Revenue</t>
        </is>
      </c>
      <c r="C23" s="117">
        <f>ROUND(Input!C10*0.4*0.2,0)*Input!C14*1.4</f>
        <v/>
      </c>
      <c r="D23" s="117">
        <f>ROUND(Input!C10*0.6*0.2,0)*Input!C14*1.4</f>
        <v/>
      </c>
      <c r="E23" s="117">
        <f>ROUND(Input!C10*0.8*0.2,0)*Input!C14*1.4</f>
        <v/>
      </c>
      <c r="F23" s="136">
        <f>IF(Input!C13=0.4,C23,IF(Input!C13=0.6,D23,E23))</f>
        <v/>
      </c>
    </row>
    <row r="24" ht="15" customHeight="1">
      <c r="B24" s="61" t="inlineStr">
        <is>
          <t>Other Revenue (Mtg Rooms + VO + Events + Workation)</t>
        </is>
      </c>
      <c r="C24" s="117">
        <f>Revenue!F17+Revenue!F18+Revenue!F19+Revenue!F20</f>
        <v/>
      </c>
      <c r="D24" s="117">
        <f>Revenue!F17+Revenue!F18+Revenue!F19+Revenue!F20</f>
        <v/>
      </c>
      <c r="E24" s="117">
        <f>Revenue!F17+Revenue!F18+Revenue!F19+Revenue!F20</f>
        <v/>
      </c>
      <c r="F24" s="136">
        <f>IF(Input!C13=0.4,C24,IF(Input!C13=0.6,D24,E24))</f>
        <v/>
      </c>
    </row>
    <row r="25" ht="15.6" customHeight="1">
      <c r="B25" s="137" t="inlineStr">
        <is>
          <t>TOTAL MONTHLY REVENUE</t>
        </is>
      </c>
      <c r="C25" s="119">
        <f>C21+C22+C23+C24</f>
        <v/>
      </c>
      <c r="D25" s="119">
        <f>D21+D22+D23+D24</f>
        <v/>
      </c>
      <c r="E25" s="119">
        <f>E21+E22+E23+E24</f>
        <v/>
      </c>
      <c r="F25" s="138">
        <f>IF(Input!C13=0.4,C25,IF(Input!C13=0.6,D25,E25))</f>
        <v/>
      </c>
    </row>
    <row r="26" ht="15" customHeight="1">
      <c r="B26" s="61" t="inlineStr">
        <is>
          <t>Total Variable Cost</t>
        </is>
      </c>
      <c r="C26" s="117">
        <f>'Cost sheet'!C43*C18</f>
        <v/>
      </c>
      <c r="D26" s="117">
        <f>'Cost sheet'!C43*D18</f>
        <v/>
      </c>
      <c r="E26" s="117">
        <f>'Cost sheet'!C43*E18</f>
        <v/>
      </c>
      <c r="F26" s="136">
        <f>IF(Input!C13=0.4,C26,IF(Input!C13=0.6,D26,E26))</f>
        <v/>
      </c>
    </row>
    <row r="27" ht="15" customHeight="1">
      <c r="B27" s="61" t="inlineStr">
        <is>
          <t>Total Fixed Cost</t>
        </is>
      </c>
      <c r="C27" s="117">
        <f>'Cost sheet'!C34</f>
        <v/>
      </c>
      <c r="D27" s="117">
        <f>'Cost sheet'!C34</f>
        <v/>
      </c>
      <c r="E27" s="117">
        <f>'Cost sheet'!C34</f>
        <v/>
      </c>
      <c r="F27" s="136">
        <f>IF(Input!C13=0.4,C27,IF(Input!C13=0.6,D27,E27))</f>
        <v/>
      </c>
    </row>
    <row r="28" ht="15.6" customHeight="1">
      <c r="B28" s="137" t="inlineStr">
        <is>
          <t>TOTAL MONTHLY COST</t>
        </is>
      </c>
      <c r="C28" s="119">
        <f>C26+C27</f>
        <v/>
      </c>
      <c r="D28" s="119">
        <f>D26+D27</f>
        <v/>
      </c>
      <c r="E28" s="119">
        <f>E26+E27</f>
        <v/>
      </c>
      <c r="F28" s="138">
        <f>IF(Input!C13=0.4,C28,IF(Input!C13=0.6,D28,E28))</f>
        <v/>
      </c>
    </row>
    <row r="29" ht="15.6" customHeight="1">
      <c r="B29" s="130" t="inlineStr">
        <is>
          <t>Monthly Profit / (Loss)</t>
        </is>
      </c>
      <c r="C29" s="120">
        <f>C25-C28</f>
        <v/>
      </c>
      <c r="D29" s="120">
        <f>D25-D28</f>
        <v/>
      </c>
      <c r="E29" s="120">
        <f>E25-E28</f>
        <v/>
      </c>
      <c r="F29" s="139">
        <f>IF(Input!C13=0.4,C29,IF(Input!C13=0.6,D29,E29))</f>
        <v/>
      </c>
    </row>
    <row r="30" ht="15" customHeight="1">
      <c r="B30" s="130" t="inlineStr">
        <is>
          <t>Operating Margin %</t>
        </is>
      </c>
      <c r="C30" s="121">
        <f>IFERROR(C29/C25,0)</f>
        <v/>
      </c>
      <c r="D30" s="121">
        <f>IFERROR(D29/D25,0)</f>
        <v/>
      </c>
      <c r="E30" s="121">
        <f>IFERROR(E29/E25,0)</f>
        <v/>
      </c>
      <c r="F30" s="135">
        <f>IF(Input!C13=0.4,C30,IF(Input!C13=0.6,D30,E30))</f>
        <v/>
      </c>
    </row>
    <row r="31" ht="15.6" customHeight="1" thickBot="1">
      <c r="B31" s="33" t="inlineStr">
        <is>
          <t>Break-even Contribution (Revenue - Variable Cost)</t>
        </is>
      </c>
      <c r="C31" s="140">
        <f>C25-C26</f>
        <v/>
      </c>
      <c r="D31" s="140">
        <f>D25-D26</f>
        <v/>
      </c>
      <c r="E31" s="140">
        <f>E25-E26</f>
        <v/>
      </c>
      <c r="F31" s="141">
        <f>IF(Input!C13=0.4,C31,IF(Input!C13=0.6,D31,E31))</f>
        <v/>
      </c>
    </row>
    <row r="32" ht="15" customHeight="1" thickBot="1"/>
    <row r="33" ht="17.4" customHeight="1">
      <c r="B33" s="612" t="inlineStr">
        <is>
          <t xml:space="preserve">  SECTION C — 5-YEAR ANNUAL REVENUE TREND (WITH INFLATION)</t>
        </is>
      </c>
      <c r="C33" s="594" t="n"/>
      <c r="D33" s="594" t="n"/>
      <c r="E33" s="594" t="n"/>
      <c r="F33" s="595" t="n"/>
    </row>
    <row r="34" ht="31.2" customHeight="1">
      <c r="B34" s="128" t="inlineStr">
        <is>
          <t>Year</t>
        </is>
      </c>
      <c r="C34" s="122" t="inlineStr">
        <is>
          <t>40% Occupancy (₹)</t>
        </is>
      </c>
      <c r="D34" s="122" t="inlineStr">
        <is>
          <t>60% Occupancy (₹)</t>
        </is>
      </c>
      <c r="E34" s="122" t="inlineStr">
        <is>
          <t>80% Occupancy (₹)</t>
        </is>
      </c>
      <c r="F34" s="129" t="inlineStr">
        <is>
          <t>Active Scenario (₹)</t>
        </is>
      </c>
    </row>
    <row r="35" ht="15" customHeight="1">
      <c r="B35" s="130" t="inlineStr">
        <is>
          <t>Year 1</t>
        </is>
      </c>
      <c r="C35" s="117">
        <f>C25*12</f>
        <v/>
      </c>
      <c r="D35" s="117">
        <f>D25*12</f>
        <v/>
      </c>
      <c r="E35" s="117">
        <f>E25*12</f>
        <v/>
      </c>
      <c r="F35" s="136">
        <f>IF(Input!C13=0.4,C35,IF(Input!C13=0.6,D35,E35))</f>
        <v/>
      </c>
    </row>
    <row r="36" ht="15" customHeight="1">
      <c r="B36" s="130" t="inlineStr">
        <is>
          <t>Year 2</t>
        </is>
      </c>
      <c r="C36" s="117">
        <f>C25*12*(1+Input!C18)^1</f>
        <v/>
      </c>
      <c r="D36" s="117">
        <f>D25*12*(1+Input!C18)^1</f>
        <v/>
      </c>
      <c r="E36" s="117">
        <f>E25*12*(1+Input!C18)^1</f>
        <v/>
      </c>
      <c r="F36" s="136">
        <f>IF(Input!C13=0.4,C36,IF(Input!C13=0.6,D36,E36))</f>
        <v/>
      </c>
    </row>
    <row r="37" ht="15" customHeight="1">
      <c r="B37" s="130" t="inlineStr">
        <is>
          <t>Year 3</t>
        </is>
      </c>
      <c r="C37" s="117">
        <f>C25*12*(1+Input!C18)^2</f>
        <v/>
      </c>
      <c r="D37" s="117">
        <f>D25*12*(1+Input!C18)^2</f>
        <v/>
      </c>
      <c r="E37" s="117">
        <f>E25*12*(1+Input!C18)^2</f>
        <v/>
      </c>
      <c r="F37" s="136">
        <f>IF(Input!C13=0.4,C37,IF(Input!C13=0.6,D37,E37))</f>
        <v/>
      </c>
    </row>
    <row r="38" ht="15" customHeight="1">
      <c r="B38" s="130" t="inlineStr">
        <is>
          <t>Year 4</t>
        </is>
      </c>
      <c r="C38" s="117">
        <f>C25*12*(1+Input!C18)^3</f>
        <v/>
      </c>
      <c r="D38" s="117">
        <f>D25*12*(1+Input!C18)^3</f>
        <v/>
      </c>
      <c r="E38" s="117">
        <f>E25*12*(1+Input!C18)^3</f>
        <v/>
      </c>
      <c r="F38" s="136">
        <f>IF(Input!C13=0.4,C38,IF(Input!C13=0.6,D38,E38))</f>
        <v/>
      </c>
    </row>
    <row r="39" ht="15.6" customHeight="1" thickBot="1">
      <c r="B39" s="33" t="inlineStr">
        <is>
          <t>Year 5</t>
        </is>
      </c>
      <c r="C39" s="142">
        <f>C25*12*(1+Input!C18)^4</f>
        <v/>
      </c>
      <c r="D39" s="142">
        <f>D25*12*(1+Input!C18)^4</f>
        <v/>
      </c>
      <c r="E39" s="142">
        <f>E25*12*(1+Input!C18)^4</f>
        <v/>
      </c>
      <c r="F39" s="141">
        <f>IF(Input!C13=0.4,C39,IF(Input!C13=0.6,D39,E39))</f>
        <v/>
      </c>
    </row>
    <row r="41" ht="15" customHeight="1" thickBot="1"/>
    <row r="42" ht="17.4" customHeight="1">
      <c r="B42" s="613" t="inlineStr">
        <is>
          <t xml:space="preserve">  SECTION D — REVENUE &amp; COST PER SEAT ANALYSIS</t>
        </is>
      </c>
      <c r="C42" s="597" t="n"/>
      <c r="D42" s="597" t="n"/>
      <c r="E42" s="597" t="n"/>
      <c r="F42" s="597" t="n"/>
      <c r="G42" s="597" t="n"/>
      <c r="H42" s="598" t="n"/>
    </row>
    <row r="43" ht="15.6" customHeight="1">
      <c r="B43" s="128" t="inlineStr">
        <is>
          <t>KPI</t>
        </is>
      </c>
      <c r="C43" s="122" t="inlineStr">
        <is>
          <t>Value</t>
        </is>
      </c>
      <c r="D43" s="122" t="inlineStr">
        <is>
          <t>Unit</t>
        </is>
      </c>
      <c r="E43" s="614" t="inlineStr">
        <is>
          <t>Comment</t>
        </is>
      </c>
      <c r="H43" s="615" t="n"/>
    </row>
    <row r="44" ht="15" customHeight="1">
      <c r="B44" s="130" t="inlineStr">
        <is>
          <t>Revenue per Installed Seat / month</t>
        </is>
      </c>
      <c r="C44" s="118">
        <f>IFERROR(Revenue!F21/Input!C10,0)</f>
        <v/>
      </c>
      <c r="D44" s="15" t="inlineStr">
        <is>
          <t>₹/seat</t>
        </is>
      </c>
      <c r="E44" s="616" t="inlineStr">
        <is>
          <t>Based on current occupancy</t>
        </is>
      </c>
      <c r="H44" s="615" t="n"/>
    </row>
    <row r="45" ht="15" customHeight="1">
      <c r="B45" s="130" t="inlineStr">
        <is>
          <t>Revenue per Occupied Seat / month</t>
        </is>
      </c>
      <c r="C45" s="118">
        <f>IFERROR(Revenue!F21/(Input!C10*Input!C13),0)</f>
        <v/>
      </c>
      <c r="D45" s="15" t="inlineStr">
        <is>
          <t>₹/seat</t>
        </is>
      </c>
      <c r="E45" s="616" t="inlineStr">
        <is>
          <t>Active members only</t>
        </is>
      </c>
      <c r="H45" s="615" t="n"/>
    </row>
    <row r="46" ht="15" customHeight="1">
      <c r="B46" s="130" t="inlineStr">
        <is>
          <t>Cost per Occupied Seat / month</t>
        </is>
      </c>
      <c r="C46" s="123">
        <f>IFERROR('Cost sheet'!C53/(Input!C10*Input!C13),0)</f>
        <v/>
      </c>
      <c r="D46" s="15" t="inlineStr">
        <is>
          <t>₹/seat</t>
        </is>
      </c>
      <c r="E46" s="616" t="inlineStr">
        <is>
          <t>Full cost allocation</t>
        </is>
      </c>
      <c r="H46" s="615" t="n"/>
    </row>
    <row r="47" ht="15" customHeight="1">
      <c r="B47" s="130" t="inlineStr">
        <is>
          <t>Variable Cost per Seat / month</t>
        </is>
      </c>
      <c r="C47" s="123">
        <f>'Cost sheet'!C43</f>
        <v/>
      </c>
      <c r="D47" s="15" t="inlineStr">
        <is>
          <t>₹/seat</t>
        </is>
      </c>
      <c r="E47" s="616" t="inlineStr">
        <is>
          <t>From Cost sheet Part C</t>
        </is>
      </c>
      <c r="H47" s="615" t="n"/>
    </row>
    <row r="48" ht="15" customHeight="1">
      <c r="B48" s="130" t="inlineStr">
        <is>
          <t>Contribution per Seat / month</t>
        </is>
      </c>
      <c r="C48" s="118">
        <f>IFERROR(Revenue!F21/(Input!C10*Input!C13)-'Cost sheet'!C43,0)</f>
        <v/>
      </c>
      <c r="D48" s="15" t="inlineStr">
        <is>
          <t>₹/seat</t>
        </is>
      </c>
      <c r="E48" s="616" t="inlineStr">
        <is>
          <t>Revenue/seat minus variable cost</t>
        </is>
      </c>
      <c r="H48" s="615" t="n"/>
    </row>
    <row r="49" ht="15" customHeight="1">
      <c r="B49" s="130" t="inlineStr">
        <is>
          <t>Break-even Price per Seat</t>
        </is>
      </c>
      <c r="C49" s="123">
        <f>IFERROR('Cost sheet'!C34/(Input!C10*Input!C13)+'Cost sheet'!C43,0)</f>
        <v/>
      </c>
      <c r="D49" s="15" t="inlineStr">
        <is>
          <t>₹/seat</t>
        </is>
      </c>
      <c r="E49" s="616" t="inlineStr">
        <is>
          <t>Price to cover ALL fixed + variable costs</t>
        </is>
      </c>
      <c r="H49" s="615" t="n"/>
    </row>
    <row r="50" ht="15" customHeight="1">
      <c r="B50" s="130" t="inlineStr">
        <is>
          <t>Break-even Seats Required</t>
        </is>
      </c>
      <c r="C50" s="124">
        <f>IFERROR(ROUND('Cost sheet'!C34/(Input!C14-'Cost sheet'!C43),0),0)</f>
        <v/>
      </c>
      <c r="D50" s="15" t="inlineStr">
        <is>
          <t>seats</t>
        </is>
      </c>
      <c r="E50" s="617" t="inlineStr">
        <is>
          <t>Fixed Cost ÷ (Price/seat – Variable cost/seat)</t>
        </is>
      </c>
      <c r="H50" s="615" t="n"/>
    </row>
    <row r="51" ht="15.6" customHeight="1" thickBot="1">
      <c r="B51" s="33" t="inlineStr">
        <is>
          <t>Break-even Occupancy %</t>
        </is>
      </c>
      <c r="C51" s="164">
        <f>IFERROR(ROUND('Cost sheet'!C34/(Input!C14-'Cost sheet'!C43),0)/Input!C10,0)</f>
        <v/>
      </c>
      <c r="D51" s="35" t="inlineStr">
        <is>
          <t>%</t>
        </is>
      </c>
      <c r="E51" s="618" t="inlineStr">
        <is>
          <t>Break-even seats ÷ total seats (&gt;100% = unachievable at current price)</t>
        </is>
      </c>
      <c r="F51" s="600" t="n"/>
      <c r="G51" s="600" t="n"/>
      <c r="H51" s="601" t="n"/>
    </row>
    <row r="54" ht="21" customHeight="1">
      <c r="B54" s="163" t="inlineStr">
        <is>
          <t>Note: At current Owned scenario pricing (₹7,500/seat), break-even requires &gt;100% occupancy. Switch to Rent scenario or increase price per seat.</t>
        </is>
      </c>
    </row>
  </sheetData>
  <mergeCells count="14">
    <mergeCell ref="B3:G3"/>
    <mergeCell ref="B2:G2"/>
    <mergeCell ref="E45:H45"/>
    <mergeCell ref="E48:H48"/>
    <mergeCell ref="E47:H47"/>
    <mergeCell ref="B16:F16"/>
    <mergeCell ref="E43:H43"/>
    <mergeCell ref="E50:H50"/>
    <mergeCell ref="B33:F33"/>
    <mergeCell ref="E51:H51"/>
    <mergeCell ref="E44:H44"/>
    <mergeCell ref="E46:H46"/>
    <mergeCell ref="B42:H42"/>
    <mergeCell ref="E49:H49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B1:H40"/>
  <sheetViews>
    <sheetView showGridLines="0" topLeftCell="B1" zoomScaleNormal="100" workbookViewId="0">
      <selection activeCell="B1" sqref="B1"/>
    </sheetView>
  </sheetViews>
  <sheetFormatPr baseColWidth="8" defaultColWidth="8.6640625" defaultRowHeight="14.4"/>
  <cols>
    <col width="3" customWidth="1" min="1" max="1"/>
    <col width="34" customWidth="1" min="2" max="2"/>
    <col width="20" customWidth="1" min="3" max="3"/>
    <col width="18" customWidth="1" min="4" max="8"/>
  </cols>
  <sheetData>
    <row r="1" ht="21.6" customHeight="1" thickBot="1">
      <c r="B1" s="384" t="inlineStr">
        <is>
          <t>Navigation Tab</t>
        </is>
      </c>
    </row>
    <row r="2" ht="21" customHeight="1">
      <c r="B2" s="610" t="inlineStr">
        <is>
          <t>REVENUE MODEL — 5-YEAR ANNUAL PROJECTION</t>
        </is>
      </c>
      <c r="C2" s="597" t="n"/>
      <c r="D2" s="597" t="n"/>
      <c r="E2" s="597" t="n"/>
      <c r="F2" s="597" t="n"/>
      <c r="G2" s="597" t="n"/>
      <c r="H2" s="598" t="n"/>
    </row>
    <row r="3" ht="18.6" customHeight="1" thickBot="1">
      <c r="B3" s="608" t="inlineStr">
        <is>
          <t>Year 1 linked to Revenue sheet. Years 2–5 compound Input!C18 inflation annually. No hardcoding.</t>
        </is>
      </c>
      <c r="C3" s="600" t="n"/>
      <c r="D3" s="600" t="n"/>
      <c r="E3" s="600" t="n"/>
      <c r="F3" s="600" t="n"/>
      <c r="G3" s="600" t="n"/>
      <c r="H3" s="601" t="n"/>
    </row>
    <row r="4" ht="15" customHeight="1" thickBot="1"/>
    <row r="5" ht="17.4" customHeight="1">
      <c r="B5" s="612" t="inlineStr">
        <is>
          <t xml:space="preserve">  PART 1 — ANNUAL REVENUE BY STREAM (₹)</t>
        </is>
      </c>
      <c r="C5" s="594" t="n"/>
      <c r="D5" s="594" t="n"/>
      <c r="E5" s="594" t="n"/>
      <c r="F5" s="594" t="n"/>
      <c r="G5" s="594" t="n"/>
      <c r="H5" s="595" t="n"/>
    </row>
    <row r="6" ht="15.6" customHeight="1">
      <c r="B6" s="167" t="inlineStr">
        <is>
          <t>Revenue Stream</t>
        </is>
      </c>
      <c r="C6" s="112" t="inlineStr">
        <is>
          <t>Year 1</t>
        </is>
      </c>
      <c r="D6" s="112" t="inlineStr">
        <is>
          <t>Year 2</t>
        </is>
      </c>
      <c r="E6" s="112" t="inlineStr">
        <is>
          <t>Year 3</t>
        </is>
      </c>
      <c r="F6" s="112" t="inlineStr">
        <is>
          <t>Year 4</t>
        </is>
      </c>
      <c r="G6" s="112" t="inlineStr">
        <is>
          <t>Year 5</t>
        </is>
      </c>
      <c r="H6" s="165" t="inlineStr">
        <is>
          <t>5-Year Total</t>
        </is>
      </c>
    </row>
    <row r="7" ht="15" customHeight="1">
      <c r="B7" s="130" t="inlineStr">
        <is>
          <t>Hot Desks</t>
        </is>
      </c>
      <c r="C7" s="110">
        <f>Revenue!F14*12</f>
        <v/>
      </c>
      <c r="D7" s="92">
        <f>C7*(1+Input!C18)</f>
        <v/>
      </c>
      <c r="E7" s="92">
        <f>D7*(1+Input!C18)</f>
        <v/>
      </c>
      <c r="F7" s="92">
        <f>E7*(1+Input!C18)</f>
        <v/>
      </c>
      <c r="G7" s="92">
        <f>F7*(1+Input!C18)</f>
        <v/>
      </c>
      <c r="H7" s="62">
        <f>SUM(C7:G7)</f>
        <v/>
      </c>
    </row>
    <row r="8" ht="15" customHeight="1">
      <c r="B8" s="130" t="inlineStr">
        <is>
          <t>Dedicated Desks</t>
        </is>
      </c>
      <c r="C8" s="110">
        <f>Revenue!F15*12</f>
        <v/>
      </c>
      <c r="D8" s="92">
        <f>C8*(1+Input!C18)</f>
        <v/>
      </c>
      <c r="E8" s="92">
        <f>D8*(1+Input!C18)</f>
        <v/>
      </c>
      <c r="F8" s="92">
        <f>E8*(1+Input!C18)</f>
        <v/>
      </c>
      <c r="G8" s="92">
        <f>F8*(1+Input!C18)</f>
        <v/>
      </c>
      <c r="H8" s="62">
        <f>SUM(C8:G8)</f>
        <v/>
      </c>
    </row>
    <row r="9" ht="15" customHeight="1">
      <c r="B9" s="130" t="inlineStr">
        <is>
          <t>Private Cabins</t>
        </is>
      </c>
      <c r="C9" s="110">
        <f>Revenue!F16*12</f>
        <v/>
      </c>
      <c r="D9" s="92">
        <f>C9*(1+Input!C18)</f>
        <v/>
      </c>
      <c r="E9" s="92">
        <f>D9*(1+Input!C18)</f>
        <v/>
      </c>
      <c r="F9" s="92">
        <f>E9*(1+Input!C18)</f>
        <v/>
      </c>
      <c r="G9" s="92">
        <f>F9*(1+Input!C18)</f>
        <v/>
      </c>
      <c r="H9" s="62">
        <f>SUM(C9:G9)</f>
        <v/>
      </c>
    </row>
    <row r="10" ht="15" customHeight="1">
      <c r="B10" s="130" t="inlineStr">
        <is>
          <t>Meeting Rooms</t>
        </is>
      </c>
      <c r="C10" s="110">
        <f>Revenue!F17*12</f>
        <v/>
      </c>
      <c r="D10" s="92">
        <f>C10*(1+Input!C18)</f>
        <v/>
      </c>
      <c r="E10" s="92">
        <f>D10*(1+Input!C18)</f>
        <v/>
      </c>
      <c r="F10" s="92">
        <f>E10*(1+Input!C18)</f>
        <v/>
      </c>
      <c r="G10" s="92">
        <f>F10*(1+Input!C18)</f>
        <v/>
      </c>
      <c r="H10" s="62">
        <f>SUM(C10:G10)</f>
        <v/>
      </c>
    </row>
    <row r="11" ht="15" customHeight="1">
      <c r="B11" s="130" t="inlineStr">
        <is>
          <t>Virtual Office Memberships</t>
        </is>
      </c>
      <c r="C11" s="110">
        <f>Revenue!F18*12</f>
        <v/>
      </c>
      <c r="D11" s="92">
        <f>C11*(1+Input!C18)</f>
        <v/>
      </c>
      <c r="E11" s="92">
        <f>D11*(1+Input!C18)</f>
        <v/>
      </c>
      <c r="F11" s="92">
        <f>E11*(1+Input!C18)</f>
        <v/>
      </c>
      <c r="G11" s="92">
        <f>F11*(1+Input!C18)</f>
        <v/>
      </c>
      <c r="H11" s="62">
        <f>SUM(C11:G11)</f>
        <v/>
      </c>
    </row>
    <row r="12" ht="15" customHeight="1">
      <c r="B12" s="130" t="inlineStr">
        <is>
          <t>Events &amp; Workshops</t>
        </is>
      </c>
      <c r="C12" s="110">
        <f>Revenue!F19*12</f>
        <v/>
      </c>
      <c r="D12" s="92">
        <f>C12*(1+Input!C18)</f>
        <v/>
      </c>
      <c r="E12" s="92">
        <f>D12*(1+Input!C18)</f>
        <v/>
      </c>
      <c r="F12" s="92">
        <f>E12*(1+Input!C18)</f>
        <v/>
      </c>
      <c r="G12" s="92">
        <f>F12*(1+Input!C18)</f>
        <v/>
      </c>
      <c r="H12" s="62">
        <f>SUM(C12:G12)</f>
        <v/>
      </c>
    </row>
    <row r="13" ht="15" customHeight="1">
      <c r="B13" s="130" t="inlineStr">
        <is>
          <t>Workation Packages</t>
        </is>
      </c>
      <c r="C13" s="110">
        <f>Revenue!F20*12</f>
        <v/>
      </c>
      <c r="D13" s="92">
        <f>C13*(1+Input!C18)</f>
        <v/>
      </c>
      <c r="E13" s="92">
        <f>D13*(1+Input!C18)</f>
        <v/>
      </c>
      <c r="F13" s="92">
        <f>E13*(1+Input!C18)</f>
        <v/>
      </c>
      <c r="G13" s="92">
        <f>F13*(1+Input!C18)</f>
        <v/>
      </c>
      <c r="H13" s="62">
        <f>SUM(C13:G13)</f>
        <v/>
      </c>
    </row>
    <row r="14" ht="15.6" customHeight="1">
      <c r="B14" s="176" t="inlineStr">
        <is>
          <t>TOTAL ANNUAL REVENUE</t>
        </is>
      </c>
      <c r="C14" s="166">
        <f>SUM(C7:C13)</f>
        <v/>
      </c>
      <c r="D14" s="166">
        <f>SUM(D7:D13)</f>
        <v/>
      </c>
      <c r="E14" s="166">
        <f>SUM(E7:E13)</f>
        <v/>
      </c>
      <c r="F14" s="166">
        <f>SUM(F7:F13)</f>
        <v/>
      </c>
      <c r="G14" s="166">
        <f>SUM(G7:G13)</f>
        <v/>
      </c>
      <c r="H14" s="177">
        <f>SUM(H7:H13)</f>
        <v/>
      </c>
    </row>
    <row r="15" ht="15.6" customHeight="1" thickBot="1">
      <c r="B15" s="33" t="inlineStr">
        <is>
          <t>Revenue Growth YoY %</t>
        </is>
      </c>
      <c r="C15" s="178" t="inlineStr">
        <is>
          <t>-</t>
        </is>
      </c>
      <c r="D15" s="179">
        <f>IFERROR((D14-C14)/C14,0)</f>
        <v/>
      </c>
      <c r="E15" s="179">
        <f>IFERROR((E14-D14)/D14,0)</f>
        <v/>
      </c>
      <c r="F15" s="179">
        <f>IFERROR((F14-E14)/E14,0)</f>
        <v/>
      </c>
      <c r="G15" s="179">
        <f>IFERROR((G14-F14)/F14,0)</f>
        <v/>
      </c>
      <c r="H15" s="180" t="inlineStr">
        <is>
          <t>-</t>
        </is>
      </c>
    </row>
    <row r="16" ht="15" customHeight="1" thickBot="1"/>
    <row r="17" ht="17.4" customHeight="1">
      <c r="B17" s="612" t="inlineStr">
        <is>
          <t xml:space="preserve">  PART 2 — MONTHLY REVENUE MIX (YEAR 1 BASE)</t>
        </is>
      </c>
      <c r="C17" s="594" t="n"/>
      <c r="D17" s="594" t="n"/>
      <c r="E17" s="594" t="n"/>
      <c r="F17" s="594" t="n"/>
      <c r="G17" s="595" t="n"/>
    </row>
    <row r="18" ht="15.6" customHeight="1">
      <c r="B18" s="167" t="inlineStr">
        <is>
          <t>Stream</t>
        </is>
      </c>
      <c r="C18" s="112" t="inlineStr">
        <is>
          <t>Monthly (₹)</t>
        </is>
      </c>
      <c r="D18" s="112" t="inlineStr">
        <is>
          <t>Annual (₹)</t>
        </is>
      </c>
      <c r="E18" s="112" t="inlineStr">
        <is>
          <t>% of Total Rev</t>
        </is>
      </c>
      <c r="F18" s="112" t="inlineStr">
        <is>
          <t>Unit Price (₹)</t>
        </is>
      </c>
      <c r="G18" s="165" t="inlineStr">
        <is>
          <t>Units / Month</t>
        </is>
      </c>
    </row>
    <row r="19" ht="15" customHeight="1">
      <c r="B19" s="130" t="inlineStr">
        <is>
          <t>Hot Desks</t>
        </is>
      </c>
      <c r="C19" s="110">
        <f>Revenue!F14</f>
        <v/>
      </c>
      <c r="D19" s="92">
        <f>Revenue!F14*12</f>
        <v/>
      </c>
      <c r="E19" s="109">
        <f>IFERROR(Revenue!F14/Revenue!F21,0)</f>
        <v/>
      </c>
      <c r="F19" s="110">
        <f>Revenue!D14</f>
        <v/>
      </c>
      <c r="G19" s="169">
        <f>Revenue!C14</f>
        <v/>
      </c>
    </row>
    <row r="20" ht="15" customHeight="1">
      <c r="B20" s="130" t="inlineStr">
        <is>
          <t>Dedicated Desks</t>
        </is>
      </c>
      <c r="C20" s="110">
        <f>Revenue!F15</f>
        <v/>
      </c>
      <c r="D20" s="92">
        <f>Revenue!F15*12</f>
        <v/>
      </c>
      <c r="E20" s="109">
        <f>IFERROR(Revenue!F15/Revenue!F21,0)</f>
        <v/>
      </c>
      <c r="F20" s="110">
        <f>Revenue!D15</f>
        <v/>
      </c>
      <c r="G20" s="169">
        <f>Revenue!C15</f>
        <v/>
      </c>
    </row>
    <row r="21" ht="15" customHeight="1">
      <c r="B21" s="130" t="inlineStr">
        <is>
          <t>Private Cabins</t>
        </is>
      </c>
      <c r="C21" s="110">
        <f>Revenue!F16</f>
        <v/>
      </c>
      <c r="D21" s="92">
        <f>Revenue!F16*12</f>
        <v/>
      </c>
      <c r="E21" s="109">
        <f>IFERROR(Revenue!F16/Revenue!F21,0)</f>
        <v/>
      </c>
      <c r="F21" s="110">
        <f>Revenue!D16</f>
        <v/>
      </c>
      <c r="G21" s="169">
        <f>Revenue!C16</f>
        <v/>
      </c>
    </row>
    <row r="22" ht="15" customHeight="1">
      <c r="B22" s="130" t="inlineStr">
        <is>
          <t>Meeting Rooms</t>
        </is>
      </c>
      <c r="C22" s="110">
        <f>Revenue!F17</f>
        <v/>
      </c>
      <c r="D22" s="92">
        <f>Revenue!F17*12</f>
        <v/>
      </c>
      <c r="E22" s="109">
        <f>IFERROR(Revenue!F17/Revenue!F21,0)</f>
        <v/>
      </c>
      <c r="F22" s="110">
        <f>Revenue!D17</f>
        <v/>
      </c>
      <c r="G22" s="169">
        <f>Revenue!C17</f>
        <v/>
      </c>
    </row>
    <row r="23" ht="15" customHeight="1">
      <c r="B23" s="130" t="inlineStr">
        <is>
          <t>Virtual Office Memberships</t>
        </is>
      </c>
      <c r="C23" s="110">
        <f>Revenue!F18</f>
        <v/>
      </c>
      <c r="D23" s="92">
        <f>Revenue!F18*12</f>
        <v/>
      </c>
      <c r="E23" s="109">
        <f>IFERROR(Revenue!F18/Revenue!F21,0)</f>
        <v/>
      </c>
      <c r="F23" s="110">
        <f>Revenue!D18</f>
        <v/>
      </c>
      <c r="G23" s="169">
        <f>Revenue!C18</f>
        <v/>
      </c>
    </row>
    <row r="24" ht="15" customHeight="1">
      <c r="B24" s="130" t="inlineStr">
        <is>
          <t>Events &amp; Workshops</t>
        </is>
      </c>
      <c r="C24" s="110">
        <f>Revenue!F19</f>
        <v/>
      </c>
      <c r="D24" s="92">
        <f>Revenue!F19*12</f>
        <v/>
      </c>
      <c r="E24" s="109">
        <f>IFERROR(Revenue!F19/Revenue!F21,0)</f>
        <v/>
      </c>
      <c r="F24" s="110">
        <f>Revenue!D19</f>
        <v/>
      </c>
      <c r="G24" s="169">
        <f>Revenue!C19</f>
        <v/>
      </c>
    </row>
    <row r="25" ht="15" customHeight="1">
      <c r="B25" s="130" t="inlineStr">
        <is>
          <t>Workation Packages</t>
        </is>
      </c>
      <c r="C25" s="110">
        <f>Revenue!F20</f>
        <v/>
      </c>
      <c r="D25" s="92">
        <f>Revenue!F20*12</f>
        <v/>
      </c>
      <c r="E25" s="109">
        <f>IFERROR(Revenue!F20/Revenue!F21,0)</f>
        <v/>
      </c>
      <c r="F25" s="110">
        <f>Revenue!D20</f>
        <v/>
      </c>
      <c r="G25" s="169">
        <f>Revenue!C20</f>
        <v/>
      </c>
    </row>
    <row r="26" ht="16.2" customHeight="1" thickBot="1">
      <c r="B26" s="170" t="inlineStr">
        <is>
          <t>TOTAL</t>
        </is>
      </c>
      <c r="C26" s="171">
        <f>Revenue!F21</f>
        <v/>
      </c>
      <c r="D26" s="172">
        <f>Revenue!F21*12</f>
        <v/>
      </c>
      <c r="E26" s="173">
        <f>SUM(E19:E25)</f>
        <v/>
      </c>
      <c r="F26" s="174" t="inlineStr">
        <is>
          <t>-</t>
        </is>
      </c>
      <c r="G26" s="175" t="inlineStr">
        <is>
          <t>-</t>
        </is>
      </c>
    </row>
    <row r="27" ht="15" customHeight="1" thickBot="1"/>
    <row r="28" ht="17.4" customHeight="1">
      <c r="B28" s="125" t="inlineStr">
        <is>
          <t xml:space="preserve">  PART 3 — 5-YEAR REVENUE KPIs</t>
        </is>
      </c>
      <c r="C28" s="126" t="n"/>
      <c r="D28" s="127" t="n"/>
    </row>
    <row r="29" ht="15.6" customHeight="1">
      <c r="B29" s="167" t="inlineStr">
        <is>
          <t>KPI</t>
        </is>
      </c>
      <c r="C29" s="112" t="inlineStr">
        <is>
          <t>Value</t>
        </is>
      </c>
      <c r="D29" s="165" t="inlineStr">
        <is>
          <t>Unit</t>
        </is>
      </c>
    </row>
    <row r="30" ht="15" customHeight="1">
      <c r="B30" s="130" t="inlineStr">
        <is>
          <t>Year 1 Annual Revenue</t>
        </is>
      </c>
      <c r="C30" s="12">
        <f>C14</f>
        <v/>
      </c>
      <c r="D30" s="131" t="inlineStr">
        <is>
          <t>₹</t>
        </is>
      </c>
    </row>
    <row r="31" ht="15" customHeight="1">
      <c r="B31" s="130" t="inlineStr">
        <is>
          <t>Year 5 Annual Revenue</t>
        </is>
      </c>
      <c r="C31" s="12">
        <f>G14</f>
        <v/>
      </c>
      <c r="D31" s="131" t="inlineStr">
        <is>
          <t>₹</t>
        </is>
      </c>
    </row>
    <row r="32" ht="15" customHeight="1">
      <c r="B32" s="130" t="inlineStr">
        <is>
          <t>5-Year Cumulative Revenue</t>
        </is>
      </c>
      <c r="C32" s="12">
        <f>H14</f>
        <v/>
      </c>
      <c r="D32" s="131" t="inlineStr">
        <is>
          <t>₹</t>
        </is>
      </c>
    </row>
    <row r="33" ht="15" customHeight="1">
      <c r="B33" s="130" t="inlineStr">
        <is>
          <t>Revenue CAGR (4-year)</t>
        </is>
      </c>
      <c r="C33" s="111">
        <f>IFERROR((G14/C14)^(1/4)-1,0)</f>
        <v/>
      </c>
      <c r="D33" s="131" t="inlineStr">
        <is>
          <t>%</t>
        </is>
      </c>
    </row>
    <row r="34" ht="15" customHeight="1">
      <c r="B34" s="130" t="inlineStr">
        <is>
          <t>Average Annual Revenue</t>
        </is>
      </c>
      <c r="C34" s="12">
        <f>H14/5</f>
        <v/>
      </c>
      <c r="D34" s="131" t="inlineStr">
        <is>
          <t>₹</t>
        </is>
      </c>
    </row>
    <row r="35" ht="15" customHeight="1">
      <c r="B35" s="130" t="inlineStr">
        <is>
          <t>Monthly Revenue (current base)</t>
        </is>
      </c>
      <c r="C35" s="110">
        <f>Revenue!F21</f>
        <v/>
      </c>
      <c r="D35" s="131" t="inlineStr">
        <is>
          <t>₹</t>
        </is>
      </c>
    </row>
    <row r="36" ht="15" customHeight="1">
      <c r="B36" s="130" t="inlineStr">
        <is>
          <t>Revenue per Seat / year</t>
        </is>
      </c>
      <c r="C36" s="110">
        <f>IFERROR(Revenue!F21*12/Input!C10,0)</f>
        <v/>
      </c>
      <c r="D36" s="131" t="inlineStr">
        <is>
          <t>₹</t>
        </is>
      </c>
    </row>
    <row r="37" ht="15" customHeight="1">
      <c r="B37" s="130" t="inlineStr">
        <is>
          <t>Revenue per Occupied Seat / yr</t>
        </is>
      </c>
      <c r="C37" s="110">
        <f>IFERROR(Revenue!F21*12/(Input!C10*Input!C13),0)</f>
        <v/>
      </c>
      <c r="D37" s="131" t="inlineStr">
        <is>
          <t>₹</t>
        </is>
      </c>
    </row>
    <row r="38" ht="15.6" customHeight="1" thickBot="1">
      <c r="B38" s="33" t="inlineStr">
        <is>
          <t>Revenue Inflation Rate (input)</t>
        </is>
      </c>
      <c r="C38" s="168">
        <f>Input!C18</f>
        <v/>
      </c>
      <c r="D38" s="36" t="inlineStr">
        <is>
          <t>%</t>
        </is>
      </c>
    </row>
    <row r="40">
      <c r="B40" s="2" t="n"/>
    </row>
  </sheetData>
  <mergeCells count="4">
    <mergeCell ref="B3:H3"/>
    <mergeCell ref="B5:H5"/>
    <mergeCell ref="B2:H2"/>
    <mergeCell ref="B17:G17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>
  <sheetPr codeName="Sheet7">
    <outlinePr summaryBelow="1" summaryRight="1"/>
    <pageSetUpPr fitToPage="1"/>
  </sheetPr>
  <dimension ref="B1:H99"/>
  <sheetViews>
    <sheetView showGridLines="0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54.6640625" customWidth="1" min="2" max="2"/>
    <col width="24.33203125" bestFit="1" customWidth="1" min="3" max="3"/>
    <col width="28.5546875" bestFit="1" customWidth="1" min="4" max="4"/>
    <col width="26" bestFit="1" customWidth="1" min="5" max="5"/>
    <col width="22.109375" bestFit="1" customWidth="1" min="6" max="6"/>
    <col width="34" bestFit="1" customWidth="1" min="7" max="7"/>
    <col width="19.88671875" bestFit="1" customWidth="1" min="8" max="8"/>
  </cols>
  <sheetData>
    <row r="1" ht="21.6" customHeight="1" thickBot="1">
      <c r="B1" s="384" t="inlineStr">
        <is>
          <t>Navigation Tab</t>
        </is>
      </c>
    </row>
    <row r="2" ht="22.8" customHeight="1">
      <c r="B2" s="619" t="inlineStr">
        <is>
          <t>PROFIT &amp; LOSS STATEMENT — 5-YEAR PROJECTION</t>
        </is>
      </c>
      <c r="C2" s="597" t="n"/>
      <c r="D2" s="597" t="n"/>
      <c r="E2" s="597" t="n"/>
      <c r="F2" s="597" t="n"/>
      <c r="G2" s="597" t="n"/>
      <c r="H2" s="598" t="n"/>
    </row>
    <row r="3" ht="18" customHeight="1" thickBot="1">
      <c r="B3" s="611" t="inlineStr">
        <is>
          <t>All values in ₹. Revenue linked to Revenue Model. Costs linked to Cost sheet. Scenario-driven.</t>
        </is>
      </c>
      <c r="C3" s="600" t="n"/>
      <c r="D3" s="600" t="n"/>
      <c r="E3" s="600" t="n"/>
      <c r="F3" s="600" t="n"/>
      <c r="G3" s="600" t="n"/>
      <c r="H3" s="601" t="n"/>
    </row>
    <row r="4" ht="15" customHeight="1" thickBot="1"/>
    <row r="5" ht="17.4" customHeight="1">
      <c r="B5" s="516" t="inlineStr">
        <is>
          <t xml:space="preserve">  PROFIT &amp; LOSS — INCOME STATEMENT</t>
        </is>
      </c>
      <c r="C5" s="594" t="n"/>
      <c r="D5" s="594" t="n"/>
      <c r="E5" s="594" t="n"/>
      <c r="F5" s="594" t="n"/>
      <c r="G5" s="594" t="n"/>
      <c r="H5" s="603" t="n"/>
    </row>
    <row r="6" ht="17.4" customHeight="1">
      <c r="B6" s="221" t="inlineStr">
        <is>
          <t>Particular</t>
        </is>
      </c>
      <c r="C6" s="219" t="inlineStr">
        <is>
          <t>Year 1</t>
        </is>
      </c>
      <c r="D6" s="219" t="inlineStr">
        <is>
          <t>Year 2</t>
        </is>
      </c>
      <c r="E6" s="219" t="inlineStr">
        <is>
          <t>Year 3</t>
        </is>
      </c>
      <c r="F6" s="219" t="inlineStr">
        <is>
          <t>Year 4</t>
        </is>
      </c>
      <c r="G6" s="219" t="inlineStr">
        <is>
          <t>Year 5</t>
        </is>
      </c>
      <c r="H6" s="220" t="inlineStr">
        <is>
          <t>5-Yr Total</t>
        </is>
      </c>
    </row>
    <row r="7" ht="15.6" customHeight="1">
      <c r="B7" s="519" t="inlineStr">
        <is>
          <t xml:space="preserve">  REVENUE</t>
        </is>
      </c>
      <c r="C7" s="585" t="n"/>
      <c r="D7" s="585" t="n"/>
      <c r="E7" s="585" t="n"/>
      <c r="F7" s="585" t="n"/>
      <c r="G7" s="585" t="n"/>
      <c r="H7" s="586" t="n"/>
    </row>
    <row r="8" ht="15" customHeight="1">
      <c r="B8" s="61" t="inlineStr">
        <is>
          <t>Gross Revenue</t>
        </is>
      </c>
      <c r="C8" s="110">
        <f>'Revenue Model'!C14</f>
        <v/>
      </c>
      <c r="D8" s="110">
        <f>'Revenue Model'!D14</f>
        <v/>
      </c>
      <c r="E8" s="110">
        <f>'Revenue Model'!E14</f>
        <v/>
      </c>
      <c r="F8" s="110">
        <f>'Revenue Model'!F14</f>
        <v/>
      </c>
      <c r="G8" s="110">
        <f>'Revenue Model'!G14</f>
        <v/>
      </c>
      <c r="H8" s="62">
        <f>SUM(C8:G8)</f>
        <v/>
      </c>
    </row>
    <row r="9" ht="15.6" customHeight="1">
      <c r="B9" s="194" t="inlineStr">
        <is>
          <t xml:space="preserve">    Less: Vacancy &amp; Discounts (5%)</t>
        </is>
      </c>
      <c r="C9" s="182">
        <f>C8*0.05</f>
        <v/>
      </c>
      <c r="D9" s="182">
        <f>D8*0.05</f>
        <v/>
      </c>
      <c r="E9" s="182">
        <f>E8*0.05</f>
        <v/>
      </c>
      <c r="F9" s="182">
        <f>F8*0.05</f>
        <v/>
      </c>
      <c r="G9" s="182">
        <f>G8*0.05</f>
        <v/>
      </c>
      <c r="H9" s="62">
        <f>SUM(C9:G9)</f>
        <v/>
      </c>
    </row>
    <row r="10" ht="15.6" customHeight="1">
      <c r="B10" s="176" t="inlineStr">
        <is>
          <t>NET REVENUE</t>
        </is>
      </c>
      <c r="C10" s="166">
        <f>C8-C9</f>
        <v/>
      </c>
      <c r="D10" s="166">
        <f>D8-D9</f>
        <v/>
      </c>
      <c r="E10" s="166">
        <f>E8-E9</f>
        <v/>
      </c>
      <c r="F10" s="166">
        <f>F8-F9</f>
        <v/>
      </c>
      <c r="G10" s="166">
        <f>G8-G9</f>
        <v/>
      </c>
      <c r="H10" s="195">
        <f>SUM(C10:G10)</f>
        <v/>
      </c>
    </row>
    <row r="11" ht="15.6" customHeight="1">
      <c r="B11" s="196" t="n"/>
      <c r="C11" s="184" t="n"/>
      <c r="D11" s="184" t="n"/>
      <c r="E11" s="184" t="n"/>
      <c r="F11" s="184" t="n"/>
      <c r="G11" s="184" t="n"/>
      <c r="H11" s="197" t="n"/>
    </row>
    <row r="12" ht="15.6" customHeight="1">
      <c r="B12" s="519" t="inlineStr">
        <is>
          <t xml:space="preserve">  DIRECT / VARIABLE COSTS</t>
        </is>
      </c>
      <c r="C12" s="585" t="n"/>
      <c r="D12" s="585" t="n"/>
      <c r="E12" s="585" t="n"/>
      <c r="F12" s="585" t="n"/>
      <c r="G12" s="585" t="n"/>
      <c r="H12" s="586" t="n"/>
    </row>
    <row r="13" ht="15" customHeight="1">
      <c r="B13" s="61" t="inlineStr">
        <is>
          <t>Variable Cost (₹900/seat × occupied seats × 12 months)</t>
        </is>
      </c>
      <c r="C13" s="92">
        <f>'Cost sheet'!C43*'Cost sheet'!C49*12</f>
        <v/>
      </c>
      <c r="D13" s="92">
        <f>C13*(1+Input!C19)^1</f>
        <v/>
      </c>
      <c r="E13" s="92">
        <f>C13*(1+Input!C19)^2</f>
        <v/>
      </c>
      <c r="F13" s="92">
        <f>C13*(1+Input!C19)^3</f>
        <v/>
      </c>
      <c r="G13" s="92">
        <f>C13*(1+Input!C19)^4</f>
        <v/>
      </c>
      <c r="H13" s="62">
        <f>SUM(C13:G13)</f>
        <v/>
      </c>
    </row>
    <row r="14" ht="15.6" customHeight="1">
      <c r="B14" s="198" t="inlineStr">
        <is>
          <t>GROSS PROFIT  (Net Rev − Variable Cost)</t>
        </is>
      </c>
      <c r="C14" s="185">
        <f>C10-C13</f>
        <v/>
      </c>
      <c r="D14" s="185">
        <f>D10-D13</f>
        <v/>
      </c>
      <c r="E14" s="185">
        <f>E10-E13</f>
        <v/>
      </c>
      <c r="F14" s="185">
        <f>F10-F13</f>
        <v/>
      </c>
      <c r="G14" s="185">
        <f>G10-G13</f>
        <v/>
      </c>
      <c r="H14" s="199">
        <f>SUM(C14:G14)</f>
        <v/>
      </c>
    </row>
    <row r="15" ht="15.6" customHeight="1">
      <c r="B15" s="194" t="inlineStr">
        <is>
          <t xml:space="preserve">    Gross Margin %</t>
        </is>
      </c>
      <c r="C15" s="187">
        <f>IFERROR(C14/C10,0)</f>
        <v/>
      </c>
      <c r="D15" s="187">
        <f>IFERROR(D14/D10,0)</f>
        <v/>
      </c>
      <c r="E15" s="187">
        <f>IFERROR(E14/E10,0)</f>
        <v/>
      </c>
      <c r="F15" s="187">
        <f>IFERROR(F14/F10,0)</f>
        <v/>
      </c>
      <c r="G15" s="187">
        <f>IFERROR(G14/G10,0)</f>
        <v/>
      </c>
      <c r="H15" s="200" t="inlineStr">
        <is>
          <t xml:space="preserve"> </t>
        </is>
      </c>
    </row>
    <row r="16" ht="15.6" customHeight="1">
      <c r="B16" s="196" t="n"/>
      <c r="C16" s="184" t="n"/>
      <c r="D16" s="184" t="n"/>
      <c r="E16" s="184" t="n"/>
      <c r="F16" s="184" t="n"/>
      <c r="G16" s="184" t="n"/>
      <c r="H16" s="197" t="n"/>
    </row>
    <row r="17" ht="15.6" customHeight="1">
      <c r="B17" s="519" t="inlineStr">
        <is>
          <t xml:space="preserve">  FIXED OPERATING EXPENSES</t>
        </is>
      </c>
      <c r="C17" s="585" t="n"/>
      <c r="D17" s="585" t="n"/>
      <c r="E17" s="585" t="n"/>
      <c r="F17" s="585" t="n"/>
      <c r="G17" s="585" t="n"/>
      <c r="H17" s="586" t="n"/>
    </row>
    <row r="18" ht="15" customHeight="1">
      <c r="B18" s="61" t="inlineStr">
        <is>
          <t xml:space="preserve">    Rent / Loan EMI</t>
        </is>
      </c>
      <c r="C18" s="92">
        <f>'Cost sheet'!C20*12</f>
        <v/>
      </c>
      <c r="D18" s="92">
        <f>'Cost sheet'!C20*12</f>
        <v/>
      </c>
      <c r="E18" s="92">
        <f>'Cost sheet'!C20*12</f>
        <v/>
      </c>
      <c r="F18" s="92">
        <f>'Cost sheet'!C20*12</f>
        <v/>
      </c>
      <c r="G18" s="92">
        <f>'Cost sheet'!C20*12</f>
        <v/>
      </c>
      <c r="H18" s="62">
        <f>SUM(C18:G18)</f>
        <v/>
      </c>
    </row>
    <row r="19" ht="15" customHeight="1">
      <c r="B19" s="61" t="inlineStr">
        <is>
          <t xml:space="preserve">    Salaries (all staff)</t>
        </is>
      </c>
      <c r="C19" s="92">
        <f>('Cost sheet'!C21+'Cost sheet'!C22+'Cost sheet'!C23+'Cost sheet'!C24+'Cost sheet'!C25+'Cost sheet'!C26)*12</f>
        <v/>
      </c>
      <c r="D19" s="92">
        <f>C19*(1+Input!C19)</f>
        <v/>
      </c>
      <c r="E19" s="92">
        <f>D19*(1+Input!C19)</f>
        <v/>
      </c>
      <c r="F19" s="92">
        <f>E19*(1+Input!C19)</f>
        <v/>
      </c>
      <c r="G19" s="92">
        <f>F19*(1+Input!C19)</f>
        <v/>
      </c>
      <c r="H19" s="62">
        <f>SUM(C19:G19)</f>
        <v/>
      </c>
    </row>
    <row r="20" ht="15" customHeight="1">
      <c r="B20" s="61" t="inlineStr">
        <is>
          <t xml:space="preserve">    Internet + Base Electricity</t>
        </is>
      </c>
      <c r="C20" s="92">
        <f>('Cost sheet'!C27+'Cost sheet'!C28)*12</f>
        <v/>
      </c>
      <c r="D20" s="92">
        <f>C20*(1+Input!C19)</f>
        <v/>
      </c>
      <c r="E20" s="92">
        <f>D20*(1+Input!C19)</f>
        <v/>
      </c>
      <c r="F20" s="92">
        <f>E20*(1+Input!C19)</f>
        <v/>
      </c>
      <c r="G20" s="92">
        <f>F20*(1+Input!C19)</f>
        <v/>
      </c>
      <c r="H20" s="62">
        <f>SUM(C20:G20)</f>
        <v/>
      </c>
    </row>
    <row r="21" ht="15" customHeight="1">
      <c r="B21" s="61" t="inlineStr">
        <is>
          <t xml:space="preserve">    Maintenance &amp; Repairs</t>
        </is>
      </c>
      <c r="C21" s="92">
        <f>'Cost sheet'!C29*12</f>
        <v/>
      </c>
      <c r="D21" s="92">
        <f>C21*(1+Input!C19)</f>
        <v/>
      </c>
      <c r="E21" s="92">
        <f>D21*(1+Input!C19)</f>
        <v/>
      </c>
      <c r="F21" s="92">
        <f>E21*(1+Input!C19)</f>
        <v/>
      </c>
      <c r="G21" s="92">
        <f>F21*(1+Input!C19)</f>
        <v/>
      </c>
      <c r="H21" s="62">
        <f>SUM(C21:G21)</f>
        <v/>
      </c>
    </row>
    <row r="22" ht="15" customHeight="1">
      <c r="B22" s="61" t="inlineStr">
        <is>
          <t xml:space="preserve">    Marketing &amp; Advertising</t>
        </is>
      </c>
      <c r="C22" s="92">
        <f>'Cost sheet'!C30*12</f>
        <v/>
      </c>
      <c r="D22" s="92">
        <f>C22*(1+Input!C19)</f>
        <v/>
      </c>
      <c r="E22" s="92">
        <f>D22*(1+Input!C19)</f>
        <v/>
      </c>
      <c r="F22" s="92">
        <f>E22*(1+Input!C19)</f>
        <v/>
      </c>
      <c r="G22" s="92">
        <f>F22*(1+Input!C19)</f>
        <v/>
      </c>
      <c r="H22" s="62">
        <f>SUM(C22:G22)</f>
        <v/>
      </c>
    </row>
    <row r="23" ht="15" customHeight="1">
      <c r="B23" s="61" t="inlineStr">
        <is>
          <t xml:space="preserve">    Admin, Insurance &amp; Misc</t>
        </is>
      </c>
      <c r="C23" s="92">
        <f>('Cost sheet'!C31+'Cost sheet'!C32+'Cost sheet'!C33)*12</f>
        <v/>
      </c>
      <c r="D23" s="92">
        <f>C23*(1+Input!C19)</f>
        <v/>
      </c>
      <c r="E23" s="92">
        <f>D23*(1+Input!C19)</f>
        <v/>
      </c>
      <c r="F23" s="92">
        <f>E23*(1+Input!C19)</f>
        <v/>
      </c>
      <c r="G23" s="92">
        <f>F23*(1+Input!C19)</f>
        <v/>
      </c>
      <c r="H23" s="62">
        <f>SUM(C23:G23)</f>
        <v/>
      </c>
    </row>
    <row r="24" ht="15.6" customHeight="1">
      <c r="B24" s="201" t="inlineStr">
        <is>
          <t>TOTAL FIXED OPERATING EXPENSES</t>
        </is>
      </c>
      <c r="C24" s="188">
        <f>SUM(C18:C23)</f>
        <v/>
      </c>
      <c r="D24" s="188">
        <f>SUM(D18:D23)</f>
        <v/>
      </c>
      <c r="E24" s="188">
        <f>SUM(E18:E23)</f>
        <v/>
      </c>
      <c r="F24" s="188">
        <f>SUM(F18:F23)</f>
        <v/>
      </c>
      <c r="G24" s="188">
        <f>SUM(G18:G23)</f>
        <v/>
      </c>
      <c r="H24" s="202">
        <f>SUM(C24:G24)</f>
        <v/>
      </c>
    </row>
    <row r="25" ht="15.6" customHeight="1">
      <c r="B25" s="196" t="n"/>
      <c r="C25" s="184" t="n"/>
      <c r="D25" s="184" t="n"/>
      <c r="E25" s="184" t="n"/>
      <c r="F25" s="184" t="n"/>
      <c r="G25" s="184" t="n"/>
      <c r="H25" s="197" t="n"/>
    </row>
    <row r="26" ht="15.6" customHeight="1">
      <c r="B26" s="203" t="inlineStr">
        <is>
          <t>EBITDA</t>
        </is>
      </c>
      <c r="C26" s="190">
        <f>C14-C24</f>
        <v/>
      </c>
      <c r="D26" s="190">
        <f>D14-D24</f>
        <v/>
      </c>
      <c r="E26" s="190">
        <f>E14-E24</f>
        <v/>
      </c>
      <c r="F26" s="190">
        <f>F14-F24</f>
        <v/>
      </c>
      <c r="G26" s="190">
        <f>G14-G24</f>
        <v/>
      </c>
      <c r="H26" s="204">
        <f>SUM(C26:G26)</f>
        <v/>
      </c>
    </row>
    <row r="27" ht="15.6" customHeight="1">
      <c r="B27" s="194" t="inlineStr">
        <is>
          <t xml:space="preserve">    EBITDA Margin %</t>
        </is>
      </c>
      <c r="C27" s="187">
        <f>IFERROR(C26/C10,0)</f>
        <v/>
      </c>
      <c r="D27" s="187">
        <f>IFERROR(D26/D10,0)</f>
        <v/>
      </c>
      <c r="E27" s="187">
        <f>IFERROR(E26/E10,0)</f>
        <v/>
      </c>
      <c r="F27" s="187">
        <f>IFERROR(F26/F10,0)</f>
        <v/>
      </c>
      <c r="G27" s="187">
        <f>IFERROR(G26/G10,0)</f>
        <v/>
      </c>
      <c r="H27" s="200" t="inlineStr">
        <is>
          <t xml:space="preserve"> </t>
        </is>
      </c>
    </row>
    <row r="28" ht="15.6" customHeight="1">
      <c r="B28" s="196" t="n"/>
      <c r="C28" s="184" t="n"/>
      <c r="D28" s="184" t="n"/>
      <c r="E28" s="184" t="n"/>
      <c r="F28" s="184" t="n"/>
      <c r="G28" s="184" t="n"/>
      <c r="H28" s="197" t="n"/>
    </row>
    <row r="29" ht="15.6" customHeight="1">
      <c r="B29" s="519" t="inlineStr">
        <is>
          <t xml:space="preserve">  DEPRECIATION</t>
        </is>
      </c>
      <c r="C29" s="585" t="n"/>
      <c r="D29" s="585" t="n"/>
      <c r="E29" s="585" t="n"/>
      <c r="F29" s="585" t="n"/>
      <c r="G29" s="585" t="n"/>
      <c r="H29" s="586" t="n"/>
    </row>
    <row r="30" ht="15" customHeight="1">
      <c r="B30" s="61" t="inlineStr">
        <is>
          <t xml:space="preserve">    Depreciation — Fit-out (SLM, 10%/yr)</t>
        </is>
      </c>
      <c r="C30" s="92">
        <f>'Cost sheet'!C7*Assumptions!E19</f>
        <v/>
      </c>
      <c r="D30" s="92">
        <f>'Cost sheet'!C7*Assumptions!E19</f>
        <v/>
      </c>
      <c r="E30" s="92">
        <f>'Cost sheet'!C7*Assumptions!E19</f>
        <v/>
      </c>
      <c r="F30" s="92">
        <f>'Cost sheet'!C7*Assumptions!E19</f>
        <v/>
      </c>
      <c r="G30" s="92">
        <f>'Cost sheet'!C7*Assumptions!E19</f>
        <v/>
      </c>
      <c r="H30" s="62">
        <f>SUM(C30:G30)</f>
        <v/>
      </c>
    </row>
    <row r="31" ht="15" customHeight="1">
      <c r="B31" s="61" t="inlineStr">
        <is>
          <t xml:space="preserve">    Depreciation — Furniture (WDV, 20%/yr)</t>
        </is>
      </c>
      <c r="C31" s="92">
        <f>'Cost sheet'!C8*Assumptions!E20*(1-Assumptions!E20)^0</f>
        <v/>
      </c>
      <c r="D31" s="92">
        <f>'Cost sheet'!C8*Assumptions!E20*(1-Assumptions!E20)^1</f>
        <v/>
      </c>
      <c r="E31" s="92">
        <f>'Cost sheet'!C8*Assumptions!E20*(1-Assumptions!E20)^2</f>
        <v/>
      </c>
      <c r="F31" s="92">
        <f>'Cost sheet'!C8*Assumptions!E20*(1-Assumptions!E20)^3</f>
        <v/>
      </c>
      <c r="G31" s="92">
        <f>'Cost sheet'!C8*Assumptions!E20*(1-Assumptions!E20)^4</f>
        <v/>
      </c>
      <c r="H31" s="62">
        <f>SUM(C31:G31)</f>
        <v/>
      </c>
    </row>
    <row r="32" ht="15" customHeight="1">
      <c r="B32" s="61" t="inlineStr">
        <is>
          <t xml:space="preserve">    Depreciation — IT (WDV, 33%/yr)</t>
        </is>
      </c>
      <c r="C32" s="92">
        <f>'Cost sheet'!C9*Assumptions!E21*(1-Assumptions!E21)^0</f>
        <v/>
      </c>
      <c r="D32" s="92">
        <f>'Cost sheet'!C9*Assumptions!E21*(1-Assumptions!E21)^1</f>
        <v/>
      </c>
      <c r="E32" s="92">
        <f>'Cost sheet'!C9*Assumptions!E21*(1-Assumptions!E21)^2</f>
        <v/>
      </c>
      <c r="F32" s="92">
        <f>'Cost sheet'!C9*Assumptions!E21*(1-Assumptions!E21)^3</f>
        <v/>
      </c>
      <c r="G32" s="92">
        <f>'Cost sheet'!C9*Assumptions!E21*(1-Assumptions!E21)^4</f>
        <v/>
      </c>
      <c r="H32" s="62">
        <f>SUM(C32:G32)</f>
        <v/>
      </c>
    </row>
    <row r="33" ht="15.6" customHeight="1">
      <c r="B33" s="176" t="inlineStr">
        <is>
          <t>TOTAL DEPRECIATION</t>
        </is>
      </c>
      <c r="C33" s="166">
        <f>SUM(C30:C32)</f>
        <v/>
      </c>
      <c r="D33" s="166">
        <f>SUM(D30:D32)</f>
        <v/>
      </c>
      <c r="E33" s="166">
        <f>SUM(E30:E32)</f>
        <v/>
      </c>
      <c r="F33" s="166">
        <f>SUM(F30:F32)</f>
        <v/>
      </c>
      <c r="G33" s="166">
        <f>SUM(G30:G32)</f>
        <v/>
      </c>
      <c r="H33" s="195">
        <f>SUM(C33:G33)</f>
        <v/>
      </c>
    </row>
    <row r="34" ht="15.6" customHeight="1">
      <c r="B34" s="196" t="n"/>
      <c r="C34" s="184" t="n"/>
      <c r="D34" s="184" t="n"/>
      <c r="E34" s="184" t="n"/>
      <c r="F34" s="184" t="n"/>
      <c r="G34" s="184" t="n"/>
      <c r="H34" s="197" t="n"/>
    </row>
    <row r="35" ht="15.6" customHeight="1">
      <c r="B35" s="203" t="inlineStr">
        <is>
          <t>EBIT  (EBITDA − Depreciation)</t>
        </is>
      </c>
      <c r="C35" s="190">
        <f>C26-C33</f>
        <v/>
      </c>
      <c r="D35" s="190">
        <f>D26-D33</f>
        <v/>
      </c>
      <c r="E35" s="190">
        <f>E26-E33</f>
        <v/>
      </c>
      <c r="F35" s="190">
        <f>F26-F33</f>
        <v/>
      </c>
      <c r="G35" s="190">
        <f>G26-G33</f>
        <v/>
      </c>
      <c r="H35" s="204">
        <f>SUM(C35:G35)</f>
        <v/>
      </c>
    </row>
    <row r="36" ht="15.6" customHeight="1">
      <c r="B36" s="194" t="inlineStr">
        <is>
          <t xml:space="preserve">    EBIT Margin %</t>
        </is>
      </c>
      <c r="C36" s="187">
        <f>IFERROR(C35/C10,0)</f>
        <v/>
      </c>
      <c r="D36" s="187">
        <f>IFERROR(D35/D10,0)</f>
        <v/>
      </c>
      <c r="E36" s="187">
        <f>IFERROR(E35/E10,0)</f>
        <v/>
      </c>
      <c r="F36" s="187">
        <f>IFERROR(F35/F10,0)</f>
        <v/>
      </c>
      <c r="G36" s="187">
        <f>IFERROR(G35/G10,0)</f>
        <v/>
      </c>
      <c r="H36" s="200" t="inlineStr">
        <is>
          <t xml:space="preserve"> </t>
        </is>
      </c>
    </row>
    <row r="37" ht="15.6" customHeight="1">
      <c r="B37" s="196" t="n"/>
      <c r="C37" s="184" t="n"/>
      <c r="D37" s="184" t="n"/>
      <c r="E37" s="184" t="n"/>
      <c r="F37" s="184" t="n"/>
      <c r="G37" s="184" t="n"/>
      <c r="H37" s="197" t="n"/>
    </row>
    <row r="38" ht="15.6" customHeight="1">
      <c r="B38" s="519" t="inlineStr">
        <is>
          <t xml:space="preserve">  INTEREST ON LOAN</t>
        </is>
      </c>
      <c r="C38" s="585" t="n"/>
      <c r="D38" s="585" t="n"/>
      <c r="E38" s="585" t="n"/>
      <c r="F38" s="585" t="n"/>
      <c r="G38" s="585" t="n"/>
      <c r="H38" s="586" t="n"/>
    </row>
    <row r="39" ht="15" customHeight="1">
      <c r="B39" s="61" t="inlineStr">
        <is>
          <t xml:space="preserve">    Interest Expense (declining on outstanding balance)</t>
        </is>
      </c>
      <c r="C39" s="92">
        <f>'Cost sheet'!C81</f>
        <v/>
      </c>
      <c r="D39" s="92">
        <f>IFERROR('Cost sheet'!C79*Input!C22*(1-((2-1)/Input!C23)),0)</f>
        <v/>
      </c>
      <c r="E39" s="92">
        <f>IFERROR('Cost sheet'!C79*Input!C22*(1-((3-1)/Input!C23)),0)</f>
        <v/>
      </c>
      <c r="F39" s="92">
        <f>IFERROR('Cost sheet'!C79*Input!C22*(1-((4-1)/Input!C23)),0)</f>
        <v/>
      </c>
      <c r="G39" s="92">
        <f>IFERROR('Cost sheet'!C79*Input!C22*(1-((5-1)/Input!C23)),0)</f>
        <v/>
      </c>
      <c r="H39" s="62">
        <f>SUM(C39:G39)</f>
        <v/>
      </c>
    </row>
    <row r="40" ht="15.6" customHeight="1">
      <c r="B40" s="196" t="n"/>
      <c r="C40" s="184" t="n"/>
      <c r="D40" s="184" t="n"/>
      <c r="E40" s="184" t="n"/>
      <c r="F40" s="184" t="n"/>
      <c r="G40" s="184" t="n"/>
      <c r="H40" s="197" t="n"/>
    </row>
    <row r="41" ht="15.6" customHeight="1">
      <c r="B41" s="203" t="inlineStr">
        <is>
          <t>PBT  (EBIT − Interest)</t>
        </is>
      </c>
      <c r="C41" s="190">
        <f>C35-C39</f>
        <v/>
      </c>
      <c r="D41" s="190">
        <f>D35-D39</f>
        <v/>
      </c>
      <c r="E41" s="190">
        <f>E35-E39</f>
        <v/>
      </c>
      <c r="F41" s="190">
        <f>F35-F39</f>
        <v/>
      </c>
      <c r="G41" s="190">
        <f>G35-G39</f>
        <v/>
      </c>
      <c r="H41" s="204">
        <f>SUM(C41:G41)</f>
        <v/>
      </c>
    </row>
    <row r="42" ht="15" customHeight="1">
      <c r="B42" s="61" t="inlineStr">
        <is>
          <t xml:space="preserve">    Corporate Tax (25%)</t>
        </is>
      </c>
      <c r="C42" s="12">
        <f>MAX(0,C41*Input!C21)</f>
        <v/>
      </c>
      <c r="D42" s="12">
        <f>MAX(0,D41*Input!C21)</f>
        <v/>
      </c>
      <c r="E42" s="12">
        <f>MAX(0,E41*Input!C21)</f>
        <v/>
      </c>
      <c r="F42" s="12">
        <f>MAX(0,F41*Input!C21)</f>
        <v/>
      </c>
      <c r="G42" s="12">
        <f>MAX(0,G41*Input!C21)</f>
        <v/>
      </c>
      <c r="H42" s="62">
        <f>SUM(C42:G42)</f>
        <v/>
      </c>
    </row>
    <row r="43" ht="15.6" customHeight="1">
      <c r="B43" s="198" t="inlineStr">
        <is>
          <t>PAT  — NET PROFIT / (LOSS)</t>
        </is>
      </c>
      <c r="C43" s="185">
        <f>C41-C42</f>
        <v/>
      </c>
      <c r="D43" s="185">
        <f>D41-D42</f>
        <v/>
      </c>
      <c r="E43" s="185">
        <f>E41-E42</f>
        <v/>
      </c>
      <c r="F43" s="185">
        <f>F41-F42</f>
        <v/>
      </c>
      <c r="G43" s="185">
        <f>G41-G42</f>
        <v/>
      </c>
      <c r="H43" s="199">
        <f>SUM(C43:G43)</f>
        <v/>
      </c>
    </row>
    <row r="44" ht="15.6" customHeight="1">
      <c r="B44" s="194" t="inlineStr">
        <is>
          <t xml:space="preserve">    Net Margin %</t>
        </is>
      </c>
      <c r="C44" s="187">
        <f>IFERROR(C43/C10,0)</f>
        <v/>
      </c>
      <c r="D44" s="187">
        <f>IFERROR(D43/D10,0)</f>
        <v/>
      </c>
      <c r="E44" s="187">
        <f>IFERROR(E43/E10,0)</f>
        <v/>
      </c>
      <c r="F44" s="187">
        <f>IFERROR(F43/F10,0)</f>
        <v/>
      </c>
      <c r="G44" s="187">
        <f>IFERROR(G43/G10,0)</f>
        <v/>
      </c>
      <c r="H44" s="200" t="inlineStr">
        <is>
          <t xml:space="preserve"> </t>
        </is>
      </c>
    </row>
    <row r="45" ht="16.2" customHeight="1" thickBot="1">
      <c r="B45" s="205" t="inlineStr">
        <is>
          <t xml:space="preserve">    Retained Earnings (cumulative)</t>
        </is>
      </c>
      <c r="C45" s="206">
        <f>C43</f>
        <v/>
      </c>
      <c r="D45" s="206">
        <f>C45+D43</f>
        <v/>
      </c>
      <c r="E45" s="206">
        <f>D45+E43</f>
        <v/>
      </c>
      <c r="F45" s="206">
        <f>E45+F43</f>
        <v/>
      </c>
      <c r="G45" s="206">
        <f>F45+G43</f>
        <v/>
      </c>
      <c r="H45" s="207">
        <f>SUM(C43:G43)</f>
        <v/>
      </c>
    </row>
    <row r="46" ht="16.2" customHeight="1" thickBot="1">
      <c r="B46" s="208" t="n"/>
      <c r="C46" s="208" t="n"/>
      <c r="D46" s="208" t="n"/>
      <c r="E46" s="208" t="n"/>
      <c r="F46" s="208" t="n"/>
      <c r="G46" s="208" t="n"/>
      <c r="H46" s="193" t="n"/>
    </row>
    <row r="47" ht="17.4" customHeight="1">
      <c r="B47" s="620" t="inlineStr">
        <is>
          <t xml:space="preserve">  PROFIT CASES ANALYSIS (YEAR 1 BASE)</t>
        </is>
      </c>
      <c r="C47" s="594" t="n"/>
      <c r="D47" s="594" t="n"/>
      <c r="E47" s="594" t="n"/>
      <c r="F47" s="594" t="n"/>
      <c r="G47" s="595" t="n"/>
    </row>
    <row r="48" ht="15.6" customHeight="1">
      <c r="B48" s="25" t="inlineStr">
        <is>
          <t>Case</t>
        </is>
      </c>
      <c r="C48" s="9" t="inlineStr">
        <is>
          <t>Target PAT</t>
        </is>
      </c>
      <c r="D48" s="9" t="inlineStr">
        <is>
          <t>Required Annual Revenue</t>
        </is>
      </c>
      <c r="E48" s="9" t="inlineStr">
        <is>
          <t>Required Occupancy %</t>
        </is>
      </c>
      <c r="F48" s="9" t="inlineStr">
        <is>
          <t>Required Price/Seat</t>
        </is>
      </c>
      <c r="G48" s="26" t="inlineStr">
        <is>
          <t>Achievable?</t>
        </is>
      </c>
      <c r="H48" s="21" t="n"/>
    </row>
    <row r="49" ht="15.6" customHeight="1">
      <c r="B49" s="209" t="inlineStr">
        <is>
          <t>Case 1 — Positive Contribution Margin</t>
        </is>
      </c>
      <c r="C49" s="181" t="inlineStr">
        <is>
          <t>Contribution &gt; 0</t>
        </is>
      </c>
      <c r="D49" s="92">
        <f>'Cost sheet'!C43*'Cost sheet'!C49*12</f>
        <v/>
      </c>
      <c r="E49" s="192">
        <f>IFERROR('Cost sheet'!C43*Input!C10*12/('Revenue Model'!C14/Input!C13),0)</f>
        <v/>
      </c>
      <c r="F49" s="92">
        <f>'Cost sheet'!C43</f>
        <v/>
      </c>
      <c r="G49" s="210">
        <f>IF(Input!C14&gt;'Cost sheet'!C43,"✓ Yes — Contribution Positive","✗ Price below var cost")</f>
        <v/>
      </c>
      <c r="H49" s="21" t="n"/>
    </row>
    <row r="50" ht="15.6" customHeight="1">
      <c r="B50" s="209" t="inlineStr">
        <is>
          <t>Case 2 — Break-even  (PAT = 0)</t>
        </is>
      </c>
      <c r="C50" s="181" t="inlineStr">
        <is>
          <t>PAT = 0</t>
        </is>
      </c>
      <c r="D50" s="92">
        <f>('Cost sheet'!C34+'Cost sheet'!C51)*12+C39</f>
        <v/>
      </c>
      <c r="E50" s="192">
        <f>IFERROR(D50/('Revenue Model'!C14/Input!C13),0)</f>
        <v/>
      </c>
      <c r="F50" s="92">
        <f>IFERROR(('Cost sheet'!C34*12+C39)/(Input!C10*Input!C13*12)+'Cost sheet'!C43,0)</f>
        <v/>
      </c>
      <c r="G50" s="211">
        <f>IF(E50&gt;1,"✗ &gt;100% occ needed","✓ Achievable")</f>
        <v/>
      </c>
      <c r="H50" s="21" t="n"/>
    </row>
    <row r="51" ht="15.6" customHeight="1">
      <c r="B51" s="209" t="inlineStr">
        <is>
          <t>Case 3 — 15% Net Profit Margin</t>
        </is>
      </c>
      <c r="C51" s="181" t="inlineStr">
        <is>
          <t>PAT = 15% of Revenue</t>
        </is>
      </c>
      <c r="D51" s="92">
        <f>IFERROR(('Cost sheet'!C34+'Cost sheet'!C43*'Cost sheet'!C49)*12+C39,0)/(1-0.25)/(1-0.15)</f>
        <v/>
      </c>
      <c r="E51" s="192">
        <f>IFERROR(D51/('Revenue Model'!C14/Input!C13),0)</f>
        <v/>
      </c>
      <c r="F51" s="92">
        <f>IFERROR(D51/(Input!C10*Input!C13*12),0)</f>
        <v/>
      </c>
      <c r="G51" s="211">
        <f>IF(E51&gt;1,"✗ &gt;100% occ needed","✓ Achievable")</f>
        <v/>
      </c>
      <c r="H51" s="21" t="n"/>
    </row>
    <row r="52" ht="16.2" customHeight="1" thickBot="1">
      <c r="B52" s="212" t="inlineStr">
        <is>
          <t>Case 4 — 30% Net Profit Margin</t>
        </is>
      </c>
      <c r="C52" s="213" t="inlineStr">
        <is>
          <t>PAT = 30% of Revenue</t>
        </is>
      </c>
      <c r="D52" s="106">
        <f>IFERROR(('Cost sheet'!C34+'Cost sheet'!C43*'Cost sheet'!C49)*12+C39,0)/(1-0.25)/(1-0.3)</f>
        <v/>
      </c>
      <c r="E52" s="214">
        <f>IFERROR(D52/('Revenue Model'!C14/Input!C13),0)</f>
        <v/>
      </c>
      <c r="F52" s="106">
        <f>IFERROR(D52/(Input!C10*Input!C13*12),0)</f>
        <v/>
      </c>
      <c r="G52" s="215">
        <f>IF(E52&gt;1,"✗ &gt;100% occ needed","✓ Achievable")</f>
        <v/>
      </c>
      <c r="H52" s="21" t="n"/>
    </row>
    <row r="53" ht="16.2" customHeight="1" thickBot="1">
      <c r="B53" s="208" t="n"/>
      <c r="C53" s="208" t="n"/>
      <c r="D53" s="193" t="n"/>
      <c r="E53" s="193" t="n"/>
      <c r="F53" s="193" t="n"/>
      <c r="G53" s="193" t="n"/>
      <c r="H53" s="184" t="n"/>
    </row>
    <row r="54" ht="17.4" customHeight="1">
      <c r="B54" s="621" t="inlineStr">
        <is>
          <t xml:space="preserve">  P&amp;L INTEGRITY CHECKS</t>
        </is>
      </c>
      <c r="C54" s="595" t="n"/>
    </row>
    <row r="55" ht="15" customHeight="1">
      <c r="B55" s="61" t="inlineStr">
        <is>
          <t>P&amp;L Yr1 Revenue ties to Revenue Model</t>
        </is>
      </c>
      <c r="C55" s="216">
        <f>IF(ABS(C8-'Revenue Model'!C14)&lt;1,"✓ Match","⚠ Mismatch")</f>
        <v/>
      </c>
    </row>
    <row r="56" ht="15" customHeight="1">
      <c r="B56" s="61" t="inlineStr">
        <is>
          <t>P&amp;L EBITDA = GP − Fixed OpEx</t>
        </is>
      </c>
      <c r="C56" s="216">
        <f>IF(ABS(C26-(C14-C24))&lt;1,"✓ Match","⚠ Mismatch")</f>
        <v/>
      </c>
    </row>
    <row r="57" ht="15.6" customHeight="1" thickBot="1">
      <c r="B57" s="48" t="inlineStr">
        <is>
          <t>P&amp;L PAT = PBT − Tax</t>
        </is>
      </c>
      <c r="C57" s="217">
        <f>IF(ABS(C43-(C41-C42))&lt;1,"✓ Match","⚠ Mismatch")</f>
        <v/>
      </c>
    </row>
    <row r="59" ht="15.6" customHeight="1">
      <c r="B59" s="522" t="inlineStr">
        <is>
          <t>Large losses reflect Owned scenario EMI… Switch to Rent scenario to see significantly better P&amp;L.</t>
        </is>
      </c>
      <c r="C59" s="587" t="n"/>
      <c r="D59" s="587" t="n"/>
      <c r="E59" s="587" t="n"/>
      <c r="F59" s="587" t="n"/>
      <c r="G59" s="587" t="n"/>
      <c r="H59" s="622" t="n"/>
    </row>
    <row r="60" ht="15" customHeight="1" thickBot="1"/>
    <row r="61" ht="17.4" customHeight="1">
      <c r="B61" s="620" t="inlineStr">
        <is>
          <t xml:space="preserve">  PROFIT &amp; LOSS — Summary Table </t>
        </is>
      </c>
      <c r="C61" s="594" t="n"/>
      <c r="D61" s="594" t="n"/>
      <c r="E61" s="594" t="n"/>
      <c r="F61" s="594" t="n"/>
      <c r="G61" s="595" t="n"/>
    </row>
    <row r="62" ht="15.6" customHeight="1">
      <c r="B62" s="25" t="inlineStr">
        <is>
          <t>Particulars</t>
        </is>
      </c>
      <c r="C62" s="9" t="inlineStr">
        <is>
          <t>Year 1</t>
        </is>
      </c>
      <c r="D62" s="9" t="inlineStr">
        <is>
          <t>Year 2</t>
        </is>
      </c>
      <c r="E62" s="9" t="inlineStr">
        <is>
          <t>Year 3</t>
        </is>
      </c>
      <c r="F62" s="9" t="inlineStr">
        <is>
          <t>Year 4</t>
        </is>
      </c>
      <c r="G62" s="26" t="inlineStr">
        <is>
          <t>Year 5</t>
        </is>
      </c>
    </row>
    <row r="63" ht="15" customHeight="1">
      <c r="B63" s="343" t="inlineStr">
        <is>
          <t>Revenue</t>
        </is>
      </c>
      <c r="C63" s="344">
        <f>C10</f>
        <v/>
      </c>
      <c r="D63" s="344">
        <f>D10</f>
        <v/>
      </c>
      <c r="E63" s="344">
        <f>E10</f>
        <v/>
      </c>
      <c r="F63" s="344">
        <f>F10</f>
        <v/>
      </c>
      <c r="G63" s="345">
        <f>G10</f>
        <v/>
      </c>
    </row>
    <row r="64" ht="15" customHeight="1">
      <c r="B64" s="343" t="inlineStr">
        <is>
          <t>Variable Cost</t>
        </is>
      </c>
      <c r="C64" s="344">
        <f>C13</f>
        <v/>
      </c>
      <c r="D64" s="344">
        <f>D13</f>
        <v/>
      </c>
      <c r="E64" s="344">
        <f>E13</f>
        <v/>
      </c>
      <c r="F64" s="344">
        <f>F13</f>
        <v/>
      </c>
      <c r="G64" s="345">
        <f>G13</f>
        <v/>
      </c>
    </row>
    <row r="65" ht="15" customHeight="1">
      <c r="B65" s="343" t="inlineStr">
        <is>
          <t>Contribution</t>
        </is>
      </c>
      <c r="C65" s="344">
        <f>C14</f>
        <v/>
      </c>
      <c r="D65" s="344">
        <f>D14</f>
        <v/>
      </c>
      <c r="E65" s="344">
        <f>E14</f>
        <v/>
      </c>
      <c r="F65" s="344">
        <f>F14</f>
        <v/>
      </c>
      <c r="G65" s="345">
        <f>G14</f>
        <v/>
      </c>
    </row>
    <row r="66" ht="15" customHeight="1">
      <c r="B66" s="343" t="inlineStr">
        <is>
          <t>Fixed Cost</t>
        </is>
      </c>
      <c r="C66" s="344">
        <f>C24</f>
        <v/>
      </c>
      <c r="D66" s="344">
        <f>D24</f>
        <v/>
      </c>
      <c r="E66" s="344">
        <f>E24</f>
        <v/>
      </c>
      <c r="F66" s="344">
        <f>F24</f>
        <v/>
      </c>
      <c r="G66" s="345">
        <f>G24</f>
        <v/>
      </c>
    </row>
    <row r="67" ht="15" customHeight="1">
      <c r="B67" s="343" t="inlineStr">
        <is>
          <t>EBITDA</t>
        </is>
      </c>
      <c r="C67" s="344">
        <f>C26</f>
        <v/>
      </c>
      <c r="D67" s="344">
        <f>D26</f>
        <v/>
      </c>
      <c r="E67" s="344">
        <f>E26</f>
        <v/>
      </c>
      <c r="F67" s="344">
        <f>F26</f>
        <v/>
      </c>
      <c r="G67" s="345">
        <f>G26</f>
        <v/>
      </c>
    </row>
    <row r="68" ht="15" customHeight="1">
      <c r="B68" s="343" t="inlineStr">
        <is>
          <t>Depreciation</t>
        </is>
      </c>
      <c r="C68" s="344">
        <f>C33</f>
        <v/>
      </c>
      <c r="D68" s="344">
        <f>D33</f>
        <v/>
      </c>
      <c r="E68" s="344">
        <f>E33</f>
        <v/>
      </c>
      <c r="F68" s="344">
        <f>F33</f>
        <v/>
      </c>
      <c r="G68" s="345">
        <f>G33</f>
        <v/>
      </c>
    </row>
    <row r="69" ht="15" customHeight="1">
      <c r="B69" s="343" t="inlineStr">
        <is>
          <t>Interest</t>
        </is>
      </c>
      <c r="C69" s="344">
        <f>C39</f>
        <v/>
      </c>
      <c r="D69" s="344">
        <f>D39</f>
        <v/>
      </c>
      <c r="E69" s="344">
        <f>E39</f>
        <v/>
      </c>
      <c r="F69" s="344">
        <f>F39</f>
        <v/>
      </c>
      <c r="G69" s="345">
        <f>G39</f>
        <v/>
      </c>
    </row>
    <row r="70" ht="15" customHeight="1">
      <c r="B70" s="343" t="inlineStr">
        <is>
          <t>PBT</t>
        </is>
      </c>
      <c r="C70" s="344">
        <f>C41</f>
        <v/>
      </c>
      <c r="D70" s="344">
        <f>D41</f>
        <v/>
      </c>
      <c r="E70" s="344">
        <f>E41</f>
        <v/>
      </c>
      <c r="F70" s="344">
        <f>F41</f>
        <v/>
      </c>
      <c r="G70" s="345">
        <f>G41</f>
        <v/>
      </c>
    </row>
    <row r="71" ht="15" customHeight="1">
      <c r="B71" s="343" t="inlineStr">
        <is>
          <t>Tax</t>
        </is>
      </c>
      <c r="C71" s="344">
        <f>C42</f>
        <v/>
      </c>
      <c r="D71" s="344">
        <f>D42</f>
        <v/>
      </c>
      <c r="E71" s="344">
        <f>E42</f>
        <v/>
      </c>
      <c r="F71" s="344">
        <f>F42</f>
        <v/>
      </c>
      <c r="G71" s="345">
        <f>G42</f>
        <v/>
      </c>
    </row>
    <row r="72" ht="15.6" customHeight="1" thickBot="1">
      <c r="B72" s="346" t="inlineStr">
        <is>
          <t>PAT</t>
        </is>
      </c>
      <c r="C72" s="347">
        <f>C43</f>
        <v/>
      </c>
      <c r="D72" s="347">
        <f>D43</f>
        <v/>
      </c>
      <c r="E72" s="347">
        <f>E43</f>
        <v/>
      </c>
      <c r="F72" s="347">
        <f>F43</f>
        <v/>
      </c>
      <c r="G72" s="348">
        <f>G43</f>
        <v/>
      </c>
    </row>
    <row r="74" ht="15" customHeight="1" thickBot="1"/>
    <row r="75" ht="17.4" customHeight="1">
      <c r="B75" s="623" t="inlineStr">
        <is>
          <t xml:space="preserve">REVENUE GROWTH TREND </t>
        </is>
      </c>
      <c r="C75" s="597" t="n"/>
      <c r="D75" s="597" t="n"/>
      <c r="E75" s="597" t="n"/>
      <c r="F75" s="597" t="n"/>
      <c r="G75" s="598" t="n"/>
    </row>
    <row r="76" ht="15.6" customHeight="1">
      <c r="B76" s="351" t="inlineStr">
        <is>
          <t>Year</t>
        </is>
      </c>
      <c r="C76" s="350" t="inlineStr">
        <is>
          <t>Year 1</t>
        </is>
      </c>
      <c r="D76" s="350" t="inlineStr">
        <is>
          <t>Year 2</t>
        </is>
      </c>
      <c r="E76" s="350" t="inlineStr">
        <is>
          <t>Year 3</t>
        </is>
      </c>
      <c r="F76" s="350" t="inlineStr">
        <is>
          <t>Year 4</t>
        </is>
      </c>
      <c r="G76" s="352" t="inlineStr">
        <is>
          <t>Year 5</t>
        </is>
      </c>
    </row>
    <row r="77" ht="15.6" customHeight="1">
      <c r="B77" s="353" t="inlineStr">
        <is>
          <t>Gross Revenue</t>
        </is>
      </c>
      <c r="C77" s="241">
        <f>C8</f>
        <v/>
      </c>
      <c r="D77" s="241">
        <f>D8</f>
        <v/>
      </c>
      <c r="E77" s="241">
        <f>E8</f>
        <v/>
      </c>
      <c r="F77" s="241">
        <f>F8</f>
        <v/>
      </c>
      <c r="G77" s="355">
        <f>G8</f>
        <v/>
      </c>
    </row>
    <row r="78" ht="16.2" customHeight="1" thickBot="1">
      <c r="B78" s="354" t="inlineStr">
        <is>
          <t>Net Revenue</t>
        </is>
      </c>
      <c r="C78" s="356">
        <f>C63</f>
        <v/>
      </c>
      <c r="D78" s="356">
        <f>D63</f>
        <v/>
      </c>
      <c r="E78" s="356">
        <f>E63</f>
        <v/>
      </c>
      <c r="F78" s="356">
        <f>F63</f>
        <v/>
      </c>
      <c r="G78" s="357">
        <f>G63</f>
        <v/>
      </c>
    </row>
    <row r="95" ht="15" customHeight="1" thickBot="1"/>
    <row r="96" ht="17.4" customHeight="1">
      <c r="B96" s="624" t="inlineStr">
        <is>
          <t>Fixed vs Variable Cost Table</t>
        </is>
      </c>
      <c r="C96" s="597" t="n"/>
      <c r="D96" s="597" t="n"/>
      <c r="E96" s="597" t="n"/>
      <c r="F96" s="597" t="n"/>
      <c r="G96" s="598" t="n"/>
    </row>
    <row r="97" ht="15.6" customHeight="1">
      <c r="B97" s="351" t="inlineStr">
        <is>
          <t>Year</t>
        </is>
      </c>
      <c r="C97" s="350" t="inlineStr">
        <is>
          <t>Year 1</t>
        </is>
      </c>
      <c r="D97" s="350" t="inlineStr">
        <is>
          <t>Year 2</t>
        </is>
      </c>
      <c r="E97" s="350" t="inlineStr">
        <is>
          <t>Year 3</t>
        </is>
      </c>
      <c r="F97" s="350" t="inlineStr">
        <is>
          <t>Year 4</t>
        </is>
      </c>
      <c r="G97" s="352" t="inlineStr">
        <is>
          <t>Year 5</t>
        </is>
      </c>
    </row>
    <row r="98" ht="15.6" customHeight="1">
      <c r="B98" s="353" t="inlineStr">
        <is>
          <t>Fised cost</t>
        </is>
      </c>
      <c r="C98" s="241">
        <f>C24</f>
        <v/>
      </c>
      <c r="D98" s="241">
        <f>D24</f>
        <v/>
      </c>
      <c r="E98" s="241">
        <f>E24</f>
        <v/>
      </c>
      <c r="F98" s="241">
        <f>F24</f>
        <v/>
      </c>
      <c r="G98" s="241">
        <f>G24</f>
        <v/>
      </c>
    </row>
    <row r="99" ht="16.2" customHeight="1" thickBot="1">
      <c r="B99" s="354" t="inlineStr">
        <is>
          <t>Variable Cost</t>
        </is>
      </c>
      <c r="C99" s="356">
        <f>C13</f>
        <v/>
      </c>
      <c r="D99" s="356">
        <f>D13</f>
        <v/>
      </c>
      <c r="E99" s="356">
        <f>E13</f>
        <v/>
      </c>
      <c r="F99" s="356">
        <f>F13</f>
        <v/>
      </c>
      <c r="G99" s="356">
        <f>G13</f>
        <v/>
      </c>
    </row>
  </sheetData>
  <mergeCells count="14">
    <mergeCell ref="B47:G47"/>
    <mergeCell ref="B54:C54"/>
    <mergeCell ref="B17:H17"/>
    <mergeCell ref="B61:G61"/>
    <mergeCell ref="B12:H12"/>
    <mergeCell ref="B38:H38"/>
    <mergeCell ref="B2:H2"/>
    <mergeCell ref="B75:G75"/>
    <mergeCell ref="B96:G96"/>
    <mergeCell ref="B7:H7"/>
    <mergeCell ref="B29:H29"/>
    <mergeCell ref="B59:H59"/>
    <mergeCell ref="B5:H5"/>
    <mergeCell ref="B3:H3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horizontalDpi="300" verticalDpi="3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codeName="Sheet8">
    <outlinePr summaryBelow="1" summaryRight="1"/>
    <pageSetUpPr fitToPage="1"/>
  </sheetPr>
  <dimension ref="B1:P44"/>
  <sheetViews>
    <sheetView showGridLines="0" zoomScale="85" zoomScaleNormal="85" workbookViewId="0">
      <selection activeCell="F1" sqref="F1"/>
    </sheetView>
  </sheetViews>
  <sheetFormatPr baseColWidth="8" defaultColWidth="8.6640625" defaultRowHeight="14.4"/>
  <cols>
    <col width="3" customWidth="1" min="1" max="1"/>
    <col width="53.6640625" customWidth="1" min="2" max="2"/>
    <col width="16.88671875" bestFit="1" customWidth="1" min="3" max="3"/>
    <col width="15.6640625" bestFit="1" customWidth="1" min="4" max="7"/>
    <col width="14.109375" bestFit="1" customWidth="1" min="8" max="14"/>
    <col width="16.88671875" bestFit="1" customWidth="1" min="15" max="15"/>
    <col width="16" customWidth="1" min="16" max="16"/>
  </cols>
  <sheetData>
    <row r="1" ht="21" customHeight="1">
      <c r="B1" s="384" t="inlineStr">
        <is>
          <t>Navigation Tab</t>
        </is>
      </c>
    </row>
    <row r="2" ht="21.6" customHeight="1" thickBot="1">
      <c r="B2" s="525" t="inlineStr">
        <is>
          <t>CASH BUDGET — YEAR 1 MONTHLY + YEARS 2–5 ANNUAL</t>
        </is>
      </c>
    </row>
    <row r="3" ht="16.2" customHeight="1" thickBot="1">
      <c r="B3" s="625" t="inlineStr">
        <is>
          <t>Year 1: month-by-month cash flows. Years 2–5: annual summary. All linked to Input, Costs &amp; P&amp;L.</t>
        </is>
      </c>
      <c r="C3" s="626" t="n"/>
      <c r="D3" s="626" t="n"/>
      <c r="E3" s="626" t="n"/>
      <c r="F3" s="626" t="n"/>
      <c r="G3" s="626" t="n"/>
      <c r="H3" s="626" t="n"/>
      <c r="I3" s="626" t="n"/>
      <c r="J3" s="626" t="n"/>
      <c r="K3" s="626" t="n"/>
      <c r="L3" s="626" t="n"/>
      <c r="M3" s="626" t="n"/>
      <c r="N3" s="626" t="n"/>
      <c r="O3" s="626" t="n"/>
      <c r="P3" s="627" t="n"/>
    </row>
    <row r="4" ht="15" customHeight="1" thickBot="1"/>
    <row r="5" ht="17.4" customHeight="1">
      <c r="B5" s="620" t="inlineStr">
        <is>
          <t xml:space="preserve">  YEAR 1 — MONTHLY CASH BUDGET</t>
        </is>
      </c>
      <c r="C5" s="594" t="n"/>
      <c r="D5" s="594" t="n"/>
      <c r="E5" s="594" t="n"/>
      <c r="F5" s="594" t="n"/>
      <c r="G5" s="594" t="n"/>
      <c r="H5" s="594" t="n"/>
      <c r="I5" s="594" t="n"/>
      <c r="J5" s="594" t="n"/>
      <c r="K5" s="594" t="n"/>
      <c r="L5" s="594" t="n"/>
      <c r="M5" s="594" t="n"/>
      <c r="N5" s="594" t="n"/>
      <c r="O5" s="595" t="n"/>
    </row>
    <row r="6" ht="17.4" customHeight="1">
      <c r="B6" s="218" t="inlineStr">
        <is>
          <t>Item</t>
        </is>
      </c>
      <c r="C6" s="219" t="inlineStr">
        <is>
          <t>Jan</t>
        </is>
      </c>
      <c r="D6" s="219" t="inlineStr">
        <is>
          <t>Feb</t>
        </is>
      </c>
      <c r="E6" s="219" t="inlineStr">
        <is>
          <t>Mar</t>
        </is>
      </c>
      <c r="F6" s="219" t="inlineStr">
        <is>
          <t>Apr</t>
        </is>
      </c>
      <c r="G6" s="219" t="inlineStr">
        <is>
          <t>May</t>
        </is>
      </c>
      <c r="H6" s="219" t="inlineStr">
        <is>
          <t>Jun</t>
        </is>
      </c>
      <c r="I6" s="219" t="inlineStr">
        <is>
          <t>Jul</t>
        </is>
      </c>
      <c r="J6" s="219" t="inlineStr">
        <is>
          <t>Aug</t>
        </is>
      </c>
      <c r="K6" s="219" t="inlineStr">
        <is>
          <t>Sep</t>
        </is>
      </c>
      <c r="L6" s="219" t="inlineStr">
        <is>
          <t>Oct</t>
        </is>
      </c>
      <c r="M6" s="219" t="inlineStr">
        <is>
          <t>Nov</t>
        </is>
      </c>
      <c r="N6" s="219" t="inlineStr">
        <is>
          <t>Dec</t>
        </is>
      </c>
      <c r="O6" s="220" t="inlineStr">
        <is>
          <t>Yr 1 Total</t>
        </is>
      </c>
    </row>
    <row r="7" ht="17.4" customHeight="1">
      <c r="B7" s="628" t="inlineStr">
        <is>
          <t xml:space="preserve">  CASH INFLOWS</t>
        </is>
      </c>
      <c r="C7" s="585" t="n"/>
      <c r="D7" s="585" t="n"/>
      <c r="E7" s="585" t="n"/>
      <c r="F7" s="585" t="n"/>
      <c r="G7" s="585" t="n"/>
      <c r="H7" s="585" t="n"/>
      <c r="I7" s="585" t="n"/>
      <c r="J7" s="585" t="n"/>
      <c r="K7" s="585" t="n"/>
      <c r="L7" s="585" t="n"/>
      <c r="M7" s="585" t="n"/>
      <c r="N7" s="585" t="n"/>
      <c r="O7" s="629" t="n"/>
    </row>
    <row r="8" ht="15.6" customHeight="1">
      <c r="B8" s="61" t="inlineStr">
        <is>
          <t>Subscription Revenue (monthly)</t>
        </is>
      </c>
      <c r="C8" s="110">
        <f>Revenue!F21</f>
        <v/>
      </c>
      <c r="D8" s="110">
        <f>Revenue!F21</f>
        <v/>
      </c>
      <c r="E8" s="110">
        <f>Revenue!F21</f>
        <v/>
      </c>
      <c r="F8" s="110">
        <f>Revenue!F21</f>
        <v/>
      </c>
      <c r="G8" s="110">
        <f>Revenue!F21</f>
        <v/>
      </c>
      <c r="H8" s="110">
        <f>Revenue!F21</f>
        <v/>
      </c>
      <c r="I8" s="110">
        <f>Revenue!F21</f>
        <v/>
      </c>
      <c r="J8" s="110">
        <f>Revenue!F21</f>
        <v/>
      </c>
      <c r="K8" s="110">
        <f>Revenue!F21</f>
        <v/>
      </c>
      <c r="L8" s="110">
        <f>Revenue!F21</f>
        <v/>
      </c>
      <c r="M8" s="110">
        <f>Revenue!F21</f>
        <v/>
      </c>
      <c r="N8" s="110">
        <f>Revenue!F21</f>
        <v/>
      </c>
      <c r="O8" s="195">
        <f>SUM(C8:N8)</f>
        <v/>
      </c>
    </row>
    <row r="9" ht="15.6" customHeight="1">
      <c r="B9" s="61" t="inlineStr">
        <is>
          <t>Advance Receipts (2-month advance — Month 1 only)</t>
        </is>
      </c>
      <c r="C9" s="223">
        <f>Revenue!F21*Input!C25</f>
        <v/>
      </c>
      <c r="D9" s="92">
        <f>0</f>
        <v/>
      </c>
      <c r="E9" s="92">
        <f>0</f>
        <v/>
      </c>
      <c r="F9" s="92">
        <f>0</f>
        <v/>
      </c>
      <c r="G9" s="92">
        <f>0</f>
        <v/>
      </c>
      <c r="H9" s="92">
        <f>0</f>
        <v/>
      </c>
      <c r="I9" s="92">
        <f>0</f>
        <v/>
      </c>
      <c r="J9" s="92">
        <f>0</f>
        <v/>
      </c>
      <c r="K9" s="92">
        <f>0</f>
        <v/>
      </c>
      <c r="L9" s="92">
        <f>0</f>
        <v/>
      </c>
      <c r="M9" s="92">
        <f>0</f>
        <v/>
      </c>
      <c r="N9" s="92">
        <f>0</f>
        <v/>
      </c>
      <c r="O9" s="195">
        <f>SUM(C9:N9)</f>
        <v/>
      </c>
    </row>
    <row r="10" ht="15.6" customHeight="1">
      <c r="B10" s="61" t="inlineStr">
        <is>
          <t>Events &amp; Workation (cash receipts)</t>
        </is>
      </c>
      <c r="C10" s="92">
        <f>Revenue!F19+Revenue!F20</f>
        <v/>
      </c>
      <c r="D10" s="92">
        <f>Revenue!F19+Revenue!F20</f>
        <v/>
      </c>
      <c r="E10" s="92">
        <f>Revenue!F19+Revenue!F20</f>
        <v/>
      </c>
      <c r="F10" s="92">
        <f>Revenue!F19+Revenue!F20</f>
        <v/>
      </c>
      <c r="G10" s="92">
        <f>Revenue!F19+Revenue!F20</f>
        <v/>
      </c>
      <c r="H10" s="92">
        <f>Revenue!F19+Revenue!F20</f>
        <v/>
      </c>
      <c r="I10" s="92">
        <f>Revenue!F19+Revenue!F20</f>
        <v/>
      </c>
      <c r="J10" s="92">
        <f>Revenue!F19+Revenue!F20</f>
        <v/>
      </c>
      <c r="K10" s="92">
        <f>Revenue!F19+Revenue!F20</f>
        <v/>
      </c>
      <c r="L10" s="92">
        <f>Revenue!F19+Revenue!F20</f>
        <v/>
      </c>
      <c r="M10" s="92">
        <f>Revenue!F19+Revenue!F20</f>
        <v/>
      </c>
      <c r="N10" s="92">
        <f>Revenue!F19+Revenue!F20</f>
        <v/>
      </c>
      <c r="O10" s="195">
        <f>SUM(C10:N10)</f>
        <v/>
      </c>
    </row>
    <row r="11" ht="16.2" customHeight="1" thickBot="1">
      <c r="B11" s="224" t="inlineStr">
        <is>
          <t>TOTAL CASH INFLOWS</t>
        </is>
      </c>
      <c r="C11" s="225">
        <f>SUM(C8:C10)</f>
        <v/>
      </c>
      <c r="D11" s="225">
        <f>SUM(D8:D10)</f>
        <v/>
      </c>
      <c r="E11" s="225">
        <f>SUM(E8:E10)</f>
        <v/>
      </c>
      <c r="F11" s="225">
        <f>SUM(F8:F10)</f>
        <v/>
      </c>
      <c r="G11" s="225">
        <f>SUM(G8:G10)</f>
        <v/>
      </c>
      <c r="H11" s="225">
        <f>SUM(H8:H10)</f>
        <v/>
      </c>
      <c r="I11" s="225">
        <f>SUM(I8:I10)</f>
        <v/>
      </c>
      <c r="J11" s="225">
        <f>SUM(J8:J10)</f>
        <v/>
      </c>
      <c r="K11" s="225">
        <f>SUM(K8:K10)</f>
        <v/>
      </c>
      <c r="L11" s="225">
        <f>SUM(L8:L10)</f>
        <v/>
      </c>
      <c r="M11" s="225">
        <f>SUM(M8:M10)</f>
        <v/>
      </c>
      <c r="N11" s="225">
        <f>SUM(N8:N10)</f>
        <v/>
      </c>
      <c r="O11" s="226">
        <f>SUM(C11:N11)</f>
        <v/>
      </c>
    </row>
    <row r="12" ht="16.2" customHeight="1" thickBot="1">
      <c r="B12" s="208" t="n"/>
      <c r="C12" s="208" t="n"/>
      <c r="D12" s="208" t="n"/>
      <c r="E12" s="208" t="n"/>
      <c r="F12" s="208" t="n"/>
      <c r="G12" s="208" t="n"/>
      <c r="H12" s="208" t="n"/>
      <c r="I12" s="208" t="n"/>
      <c r="J12" s="208" t="n"/>
      <c r="K12" s="208" t="n"/>
      <c r="L12" s="208" t="n"/>
      <c r="M12" s="208" t="n"/>
      <c r="N12" s="208" t="n"/>
      <c r="O12" s="208" t="n"/>
    </row>
    <row r="13" ht="17.4" customHeight="1">
      <c r="B13" s="612" t="inlineStr">
        <is>
          <t xml:space="preserve">  CASH OUTFLOWS</t>
        </is>
      </c>
      <c r="C13" s="594" t="n"/>
      <c r="D13" s="594" t="n"/>
      <c r="E13" s="594" t="n"/>
      <c r="F13" s="594" t="n"/>
      <c r="G13" s="594" t="n"/>
      <c r="H13" s="594" t="n"/>
      <c r="I13" s="594" t="n"/>
      <c r="J13" s="594" t="n"/>
      <c r="K13" s="594" t="n"/>
      <c r="L13" s="594" t="n"/>
      <c r="M13" s="594" t="n"/>
      <c r="N13" s="594" t="n"/>
      <c r="O13" s="595" t="n"/>
    </row>
    <row r="14" ht="15" customHeight="1">
      <c r="B14" s="61" t="inlineStr">
        <is>
          <t>Rent / EMI (monthly)</t>
        </is>
      </c>
      <c r="C14" s="92">
        <f>'Cost sheet'!C20</f>
        <v/>
      </c>
      <c r="D14" s="92">
        <f>'Cost sheet'!C20</f>
        <v/>
      </c>
      <c r="E14" s="92">
        <f>'Cost sheet'!C20</f>
        <v/>
      </c>
      <c r="F14" s="92">
        <f>'Cost sheet'!C20</f>
        <v/>
      </c>
      <c r="G14" s="92">
        <f>'Cost sheet'!C20</f>
        <v/>
      </c>
      <c r="H14" s="92">
        <f>'Cost sheet'!C20</f>
        <v/>
      </c>
      <c r="I14" s="92">
        <f>'Cost sheet'!C20</f>
        <v/>
      </c>
      <c r="J14" s="92">
        <f>'Cost sheet'!C20</f>
        <v/>
      </c>
      <c r="K14" s="92">
        <f>'Cost sheet'!C20</f>
        <v/>
      </c>
      <c r="L14" s="92">
        <f>'Cost sheet'!C20</f>
        <v/>
      </c>
      <c r="M14" s="92">
        <f>'Cost sheet'!C20</f>
        <v/>
      </c>
      <c r="N14" s="92">
        <f>'Cost sheet'!C20</f>
        <v/>
      </c>
      <c r="O14" s="62">
        <f>SUM(C14:N14)</f>
        <v/>
      </c>
    </row>
    <row r="15" ht="15" customHeight="1">
      <c r="B15" s="61" t="inlineStr">
        <is>
          <t>Salaries (all staff)</t>
        </is>
      </c>
      <c r="C15" s="92">
        <f>'Cost sheet'!C21+'Cost sheet'!C22+'Cost sheet'!C23+'Cost sheet'!C24+'Cost sheet'!C25+'Cost sheet'!C26</f>
        <v/>
      </c>
      <c r="D15" s="92">
        <f>'Cost sheet'!C21+'Cost sheet'!C22+'Cost sheet'!C23+'Cost sheet'!C24+'Cost sheet'!C25+'Cost sheet'!C26</f>
        <v/>
      </c>
      <c r="E15" s="92">
        <f>'Cost sheet'!C21+'Cost sheet'!C22+'Cost sheet'!C23+'Cost sheet'!C24+'Cost sheet'!C25+'Cost sheet'!C26</f>
        <v/>
      </c>
      <c r="F15" s="92">
        <f>'Cost sheet'!C21+'Cost sheet'!C22+'Cost sheet'!C23+'Cost sheet'!C24+'Cost sheet'!C25+'Cost sheet'!C26</f>
        <v/>
      </c>
      <c r="G15" s="92">
        <f>'Cost sheet'!C21+'Cost sheet'!C22+'Cost sheet'!C23+'Cost sheet'!C24+'Cost sheet'!C25+'Cost sheet'!C26</f>
        <v/>
      </c>
      <c r="H15" s="92">
        <f>'Cost sheet'!C21+'Cost sheet'!C22+'Cost sheet'!C23+'Cost sheet'!C24+'Cost sheet'!C25+'Cost sheet'!C26</f>
        <v/>
      </c>
      <c r="I15" s="92">
        <f>'Cost sheet'!C21+'Cost sheet'!C22+'Cost sheet'!C23+'Cost sheet'!C24+'Cost sheet'!C25+'Cost sheet'!C26</f>
        <v/>
      </c>
      <c r="J15" s="92">
        <f>'Cost sheet'!C21+'Cost sheet'!C22+'Cost sheet'!C23+'Cost sheet'!C24+'Cost sheet'!C25+'Cost sheet'!C26</f>
        <v/>
      </c>
      <c r="K15" s="92">
        <f>'Cost sheet'!C21+'Cost sheet'!C22+'Cost sheet'!C23+'Cost sheet'!C24+'Cost sheet'!C25+'Cost sheet'!C26</f>
        <v/>
      </c>
      <c r="L15" s="92">
        <f>'Cost sheet'!C21+'Cost sheet'!C22+'Cost sheet'!C23+'Cost sheet'!C24+'Cost sheet'!C25+'Cost sheet'!C26</f>
        <v/>
      </c>
      <c r="M15" s="92">
        <f>'Cost sheet'!C21+'Cost sheet'!C22+'Cost sheet'!C23+'Cost sheet'!C24+'Cost sheet'!C25+'Cost sheet'!C26</f>
        <v/>
      </c>
      <c r="N15" s="92">
        <f>'Cost sheet'!C21+'Cost sheet'!C22+'Cost sheet'!C23+'Cost sheet'!C24+'Cost sheet'!C25+'Cost sheet'!C26</f>
        <v/>
      </c>
      <c r="O15" s="62">
        <f>SUM(C15:N15)</f>
        <v/>
      </c>
    </row>
    <row r="16" ht="15" customHeight="1">
      <c r="B16" s="61" t="inlineStr">
        <is>
          <t>Utilities, Internet &amp; Fixed Overheads</t>
        </is>
      </c>
      <c r="C16" s="92">
        <f>'Cost sheet'!C27+'Cost sheet'!C28+'Cost sheet'!C29+'Cost sheet'!C30+'Cost sheet'!C31+'Cost sheet'!C32+'Cost sheet'!C33</f>
        <v/>
      </c>
      <c r="D16" s="92">
        <f>'Cost sheet'!C27+'Cost sheet'!C28+'Cost sheet'!C29+'Cost sheet'!C30+'Cost sheet'!C31+'Cost sheet'!C32+'Cost sheet'!C33</f>
        <v/>
      </c>
      <c r="E16" s="92">
        <f>'Cost sheet'!C27+'Cost sheet'!C28+'Cost sheet'!C29+'Cost sheet'!C30+'Cost sheet'!C31+'Cost sheet'!C32+'Cost sheet'!C33</f>
        <v/>
      </c>
      <c r="F16" s="92">
        <f>'Cost sheet'!C27+'Cost sheet'!C28+'Cost sheet'!C29+'Cost sheet'!C30+'Cost sheet'!C31+'Cost sheet'!C32+'Cost sheet'!C33</f>
        <v/>
      </c>
      <c r="G16" s="92">
        <f>'Cost sheet'!C27+'Cost sheet'!C28+'Cost sheet'!C29+'Cost sheet'!C30+'Cost sheet'!C31+'Cost sheet'!C32+'Cost sheet'!C33</f>
        <v/>
      </c>
      <c r="H16" s="92">
        <f>'Cost sheet'!C27+'Cost sheet'!C28+'Cost sheet'!C29+'Cost sheet'!C30+'Cost sheet'!C31+'Cost sheet'!C32+'Cost sheet'!C33</f>
        <v/>
      </c>
      <c r="I16" s="92">
        <f>'Cost sheet'!C27+'Cost sheet'!C28+'Cost sheet'!C29+'Cost sheet'!C30+'Cost sheet'!C31+'Cost sheet'!C32+'Cost sheet'!C33</f>
        <v/>
      </c>
      <c r="J16" s="92">
        <f>'Cost sheet'!C27+'Cost sheet'!C28+'Cost sheet'!C29+'Cost sheet'!C30+'Cost sheet'!C31+'Cost sheet'!C32+'Cost sheet'!C33</f>
        <v/>
      </c>
      <c r="K16" s="92">
        <f>'Cost sheet'!C27+'Cost sheet'!C28+'Cost sheet'!C29+'Cost sheet'!C30+'Cost sheet'!C31+'Cost sheet'!C32+'Cost sheet'!C33</f>
        <v/>
      </c>
      <c r="L16" s="92">
        <f>'Cost sheet'!C27+'Cost sheet'!C28+'Cost sheet'!C29+'Cost sheet'!C30+'Cost sheet'!C31+'Cost sheet'!C32+'Cost sheet'!C33</f>
        <v/>
      </c>
      <c r="M16" s="92">
        <f>'Cost sheet'!C27+'Cost sheet'!C28+'Cost sheet'!C29+'Cost sheet'!C30+'Cost sheet'!C31+'Cost sheet'!C32+'Cost sheet'!C33</f>
        <v/>
      </c>
      <c r="N16" s="92">
        <f>'Cost sheet'!C27+'Cost sheet'!C28+'Cost sheet'!C29+'Cost sheet'!C30+'Cost sheet'!C31+'Cost sheet'!C32+'Cost sheet'!C33</f>
        <v/>
      </c>
      <c r="O16" s="62">
        <f>SUM(C16:N16)</f>
        <v/>
      </c>
    </row>
    <row r="17" ht="15" customHeight="1">
      <c r="B17" s="61" t="inlineStr">
        <is>
          <t>Variable Costs (occupied seats × ₹900)</t>
        </is>
      </c>
      <c r="C17" s="92">
        <f>'Cost sheet'!C49*'Cost sheet'!C43</f>
        <v/>
      </c>
      <c r="D17" s="92">
        <f>'Cost sheet'!C49*'Cost sheet'!C43</f>
        <v/>
      </c>
      <c r="E17" s="92">
        <f>'Cost sheet'!C49*'Cost sheet'!C43</f>
        <v/>
      </c>
      <c r="F17" s="92">
        <f>'Cost sheet'!C49*'Cost sheet'!C43</f>
        <v/>
      </c>
      <c r="G17" s="92">
        <f>'Cost sheet'!C49*'Cost sheet'!C43</f>
        <v/>
      </c>
      <c r="H17" s="92">
        <f>'Cost sheet'!C49*'Cost sheet'!C43</f>
        <v/>
      </c>
      <c r="I17" s="92">
        <f>'Cost sheet'!C49*'Cost sheet'!C43</f>
        <v/>
      </c>
      <c r="J17" s="92">
        <f>'Cost sheet'!C49*'Cost sheet'!C43</f>
        <v/>
      </c>
      <c r="K17" s="92">
        <f>'Cost sheet'!C49*'Cost sheet'!C43</f>
        <v/>
      </c>
      <c r="L17" s="92">
        <f>'Cost sheet'!C49*'Cost sheet'!C43</f>
        <v/>
      </c>
      <c r="M17" s="92">
        <f>'Cost sheet'!C49*'Cost sheet'!C43</f>
        <v/>
      </c>
      <c r="N17" s="92">
        <f>'Cost sheet'!C49*'Cost sheet'!C43</f>
        <v/>
      </c>
      <c r="O17" s="62">
        <f>SUM(C17:N17)</f>
        <v/>
      </c>
    </row>
    <row r="18" ht="15" customHeight="1">
      <c r="B18" s="61" t="inlineStr">
        <is>
          <t>CAPEX Payment (Month 1 only — equity portion)</t>
        </is>
      </c>
      <c r="C18" s="223">
        <f>'Cost sheet'!C84</f>
        <v/>
      </c>
      <c r="D18" s="92">
        <f>0</f>
        <v/>
      </c>
      <c r="E18" s="92">
        <f>0</f>
        <v/>
      </c>
      <c r="F18" s="92">
        <f>0</f>
        <v/>
      </c>
      <c r="G18" s="92">
        <f>0</f>
        <v/>
      </c>
      <c r="H18" s="92">
        <f>0</f>
        <v/>
      </c>
      <c r="I18" s="92">
        <f>0</f>
        <v/>
      </c>
      <c r="J18" s="92">
        <f>0</f>
        <v/>
      </c>
      <c r="K18" s="92">
        <f>0</f>
        <v/>
      </c>
      <c r="L18" s="92">
        <f>0</f>
        <v/>
      </c>
      <c r="M18" s="92">
        <f>0</f>
        <v/>
      </c>
      <c r="N18" s="92">
        <f>0</f>
        <v/>
      </c>
      <c r="O18" s="62">
        <f>SUM(C18:N18)</f>
        <v/>
      </c>
    </row>
    <row r="19" ht="16.2" customHeight="1" thickBot="1">
      <c r="B19" s="231" t="inlineStr">
        <is>
          <t>TOTAL CASH OUTFLOWS</t>
        </is>
      </c>
      <c r="C19" s="232">
        <f>SUM(C14:C18)</f>
        <v/>
      </c>
      <c r="D19" s="232">
        <f>SUM(D14:D18)</f>
        <v/>
      </c>
      <c r="E19" s="232">
        <f>SUM(E14:E18)</f>
        <v/>
      </c>
      <c r="F19" s="232">
        <f>SUM(F14:F18)</f>
        <v/>
      </c>
      <c r="G19" s="232">
        <f>SUM(G14:G18)</f>
        <v/>
      </c>
      <c r="H19" s="232">
        <f>SUM(H14:H18)</f>
        <v/>
      </c>
      <c r="I19" s="232">
        <f>SUM(I14:I18)</f>
        <v/>
      </c>
      <c r="J19" s="232">
        <f>SUM(J14:J18)</f>
        <v/>
      </c>
      <c r="K19" s="232">
        <f>SUM(K14:K18)</f>
        <v/>
      </c>
      <c r="L19" s="232">
        <f>SUM(L14:L18)</f>
        <v/>
      </c>
      <c r="M19" s="232">
        <f>SUM(M14:M18)</f>
        <v/>
      </c>
      <c r="N19" s="232">
        <f>SUM(N14:N18)</f>
        <v/>
      </c>
      <c r="O19" s="233">
        <f>SUM(C19:N19)</f>
        <v/>
      </c>
    </row>
    <row r="20" ht="16.2" customHeight="1" thickBot="1">
      <c r="B20" s="208" t="n"/>
      <c r="C20" s="208" t="n"/>
      <c r="D20" s="208" t="n"/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</row>
    <row r="21" ht="17.4" customHeight="1">
      <c r="B21" s="612" t="inlineStr">
        <is>
          <t xml:space="preserve">  NET CASH FLOW &amp; BALANCES</t>
        </is>
      </c>
      <c r="C21" s="594" t="n"/>
      <c r="D21" s="594" t="n"/>
      <c r="E21" s="594" t="n"/>
      <c r="F21" s="594" t="n"/>
      <c r="G21" s="594" t="n"/>
      <c r="H21" s="594" t="n"/>
      <c r="I21" s="594" t="n"/>
      <c r="J21" s="594" t="n"/>
      <c r="K21" s="594" t="n"/>
      <c r="L21" s="594" t="n"/>
      <c r="M21" s="594" t="n"/>
      <c r="N21" s="594" t="n"/>
      <c r="O21" s="595" t="n"/>
    </row>
    <row r="22" ht="15.6" customHeight="1">
      <c r="B22" s="203" t="inlineStr">
        <is>
          <t>NET CASH FLOW (Inflows − Outflows)</t>
        </is>
      </c>
      <c r="C22" s="190">
        <f>C11-C19</f>
        <v/>
      </c>
      <c r="D22" s="190">
        <f>D11-D19</f>
        <v/>
      </c>
      <c r="E22" s="190">
        <f>E11-E19</f>
        <v/>
      </c>
      <c r="F22" s="190">
        <f>F11-F19</f>
        <v/>
      </c>
      <c r="G22" s="190">
        <f>G11-G19</f>
        <v/>
      </c>
      <c r="H22" s="190">
        <f>H11-H19</f>
        <v/>
      </c>
      <c r="I22" s="190">
        <f>I11-I19</f>
        <v/>
      </c>
      <c r="J22" s="190">
        <f>J11-J19</f>
        <v/>
      </c>
      <c r="K22" s="190">
        <f>K11-K19</f>
        <v/>
      </c>
      <c r="L22" s="190">
        <f>L11-L19</f>
        <v/>
      </c>
      <c r="M22" s="190">
        <f>M11-M19</f>
        <v/>
      </c>
      <c r="N22" s="190">
        <f>N11-N19</f>
        <v/>
      </c>
      <c r="O22" s="204">
        <f>SUM(C22:N22)</f>
        <v/>
      </c>
    </row>
    <row r="23" ht="15.6" customHeight="1">
      <c r="B23" s="61" t="inlineStr">
        <is>
          <t>Opening Cash Balance</t>
        </is>
      </c>
      <c r="C23" s="227">
        <f>'Cost sheet'!C79</f>
        <v/>
      </c>
      <c r="D23" s="227">
        <f>C24</f>
        <v/>
      </c>
      <c r="E23" s="227">
        <f>D24</f>
        <v/>
      </c>
      <c r="F23" s="227">
        <f>E24</f>
        <v/>
      </c>
      <c r="G23" s="227">
        <f>F24</f>
        <v/>
      </c>
      <c r="H23" s="227">
        <f>G24</f>
        <v/>
      </c>
      <c r="I23" s="227">
        <f>H24</f>
        <v/>
      </c>
      <c r="J23" s="227">
        <f>I24</f>
        <v/>
      </c>
      <c r="K23" s="227">
        <f>J24</f>
        <v/>
      </c>
      <c r="L23" s="227">
        <f>K24</f>
        <v/>
      </c>
      <c r="M23" s="227">
        <f>L24</f>
        <v/>
      </c>
      <c r="N23" s="227">
        <f>M24</f>
        <v/>
      </c>
      <c r="O23" s="234" t="n"/>
    </row>
    <row r="24" ht="16.2" customHeight="1" thickBot="1">
      <c r="B24" s="235" t="inlineStr">
        <is>
          <t>CLOSING CASH BALANCE</t>
        </is>
      </c>
      <c r="C24" s="236">
        <f>C23+C22</f>
        <v/>
      </c>
      <c r="D24" s="236">
        <f>D23+D22</f>
        <v/>
      </c>
      <c r="E24" s="236">
        <f>E23+E22</f>
        <v/>
      </c>
      <c r="F24" s="236">
        <f>F23+F22</f>
        <v/>
      </c>
      <c r="G24" s="236">
        <f>G23+G22</f>
        <v/>
      </c>
      <c r="H24" s="236">
        <f>H23+H22</f>
        <v/>
      </c>
      <c r="I24" s="236">
        <f>I23+I22</f>
        <v/>
      </c>
      <c r="J24" s="236">
        <f>J23+J22</f>
        <v/>
      </c>
      <c r="K24" s="236">
        <f>K23+K22</f>
        <v/>
      </c>
      <c r="L24" s="236">
        <f>L23+L22</f>
        <v/>
      </c>
      <c r="M24" s="236">
        <f>M23+M22</f>
        <v/>
      </c>
      <c r="N24" s="236">
        <f>N23+N22</f>
        <v/>
      </c>
      <c r="O24" s="226">
        <f>N24</f>
        <v/>
      </c>
    </row>
    <row r="25" ht="16.2" customHeight="1" thickBot="1">
      <c r="B25" s="208" t="n"/>
      <c r="C25" s="208" t="n"/>
      <c r="D25" s="208" t="n"/>
      <c r="E25" s="208" t="n"/>
      <c r="F25" s="208" t="n"/>
      <c r="G25" s="208" t="n"/>
      <c r="H25" s="193" t="n"/>
      <c r="I25" s="193" t="n"/>
      <c r="J25" s="193" t="n"/>
      <c r="K25" s="193" t="n"/>
      <c r="L25" s="193" t="n"/>
      <c r="M25" s="193" t="n"/>
      <c r="N25" s="193" t="n"/>
      <c r="O25" s="193" t="n"/>
    </row>
    <row r="26" ht="17.4" customHeight="1">
      <c r="B26" s="612" t="inlineStr">
        <is>
          <t xml:space="preserve">  YEARS 2–5 ANNUAL CASH SUMMARY</t>
        </is>
      </c>
      <c r="C26" s="594" t="n"/>
      <c r="D26" s="594" t="n"/>
      <c r="E26" s="594" t="n"/>
      <c r="F26" s="594" t="n"/>
      <c r="G26" s="595" t="n"/>
      <c r="H26" s="21" t="n"/>
      <c r="I26" s="21" t="n"/>
      <c r="J26" s="21" t="n"/>
      <c r="K26" s="21" t="n"/>
      <c r="L26" s="21" t="n"/>
      <c r="M26" s="21" t="n"/>
      <c r="N26" s="21" t="n"/>
      <c r="O26" s="21" t="n"/>
    </row>
    <row r="27" ht="15.6" customHeight="1">
      <c r="B27" s="25" t="inlineStr">
        <is>
          <t>Item</t>
        </is>
      </c>
      <c r="C27" s="9" t="inlineStr">
        <is>
          <t>Year 2</t>
        </is>
      </c>
      <c r="D27" s="9" t="inlineStr">
        <is>
          <t>Year 3</t>
        </is>
      </c>
      <c r="E27" s="9" t="inlineStr">
        <is>
          <t>Year 4</t>
        </is>
      </c>
      <c r="F27" s="9" t="inlineStr">
        <is>
          <t>Year 5</t>
        </is>
      </c>
      <c r="G27" s="26" t="inlineStr">
        <is>
          <t>4-Year Total</t>
        </is>
      </c>
      <c r="H27" s="21" t="n"/>
      <c r="I27" s="21" t="n"/>
      <c r="J27" s="21" t="n"/>
      <c r="K27" s="21" t="n"/>
      <c r="L27" s="21" t="n"/>
      <c r="M27" s="21" t="n"/>
      <c r="N27" s="21" t="n"/>
      <c r="O27" s="21" t="n"/>
    </row>
    <row r="28" ht="15.6" customHeight="1">
      <c r="B28" s="61" t="inlineStr">
        <is>
          <t>Total Cash Inflows (Revenue)</t>
        </is>
      </c>
      <c r="C28" s="110">
        <f>'P&amp;L'!C10</f>
        <v/>
      </c>
      <c r="D28" s="110">
        <f>'P&amp;L'!D10</f>
        <v/>
      </c>
      <c r="E28" s="110">
        <f>'P&amp;L'!E10</f>
        <v/>
      </c>
      <c r="F28" s="110">
        <f>'P&amp;L'!F10</f>
        <v/>
      </c>
      <c r="G28" s="62">
        <f>SUM(C28:F28)</f>
        <v/>
      </c>
      <c r="H28" s="21" t="n"/>
      <c r="I28" s="21" t="n"/>
      <c r="J28" s="21" t="n"/>
      <c r="K28" s="21" t="n"/>
      <c r="L28" s="21" t="n"/>
      <c r="M28" s="21" t="n"/>
      <c r="N28" s="21" t="n"/>
      <c r="O28" s="21" t="n"/>
    </row>
    <row r="29" ht="15.6" customHeight="1">
      <c r="B29" s="61" t="inlineStr">
        <is>
          <t>Total Cash Outflows (Operating Costs)</t>
        </is>
      </c>
      <c r="C29" s="228">
        <f>'P&amp;L'!C13+'P&amp;L'!C24</f>
        <v/>
      </c>
      <c r="D29" s="228">
        <f>'P&amp;L'!D13+'P&amp;L'!D24</f>
        <v/>
      </c>
      <c r="E29" s="228">
        <f>'P&amp;L'!E13+'P&amp;L'!E24</f>
        <v/>
      </c>
      <c r="F29" s="228">
        <f>'P&amp;L'!F13+'P&amp;L'!F24</f>
        <v/>
      </c>
      <c r="G29" s="62">
        <f>SUM(C29:F29)</f>
        <v/>
      </c>
      <c r="H29" s="21" t="n"/>
      <c r="I29" s="21" t="n"/>
      <c r="J29" s="21" t="n"/>
      <c r="K29" s="21" t="n"/>
      <c r="L29" s="21" t="n"/>
      <c r="M29" s="21" t="n"/>
      <c r="N29" s="21" t="n"/>
      <c r="O29" s="21" t="n"/>
    </row>
    <row r="30" ht="15.6" customHeight="1">
      <c r="B30" s="61" t="inlineStr">
        <is>
          <t>Net Cash Flow (before financing)</t>
        </is>
      </c>
      <c r="C30" s="191">
        <f>C28-C29</f>
        <v/>
      </c>
      <c r="D30" s="191">
        <f>D28-D29</f>
        <v/>
      </c>
      <c r="E30" s="191">
        <f>E28-E29</f>
        <v/>
      </c>
      <c r="F30" s="191">
        <f>F28-F29</f>
        <v/>
      </c>
      <c r="G30" s="204">
        <f>SUM(C30:F30)</f>
        <v/>
      </c>
      <c r="H30" s="21" t="n"/>
      <c r="I30" s="21" t="n"/>
      <c r="J30" s="21" t="n"/>
      <c r="K30" s="21" t="n"/>
      <c r="L30" s="21" t="n"/>
      <c r="M30" s="21" t="n"/>
      <c r="N30" s="21" t="n"/>
      <c r="O30" s="21" t="n"/>
    </row>
    <row r="31" ht="15.6" customHeight="1">
      <c r="B31" s="61" t="inlineStr">
        <is>
          <t>Opening Cash Balance</t>
        </is>
      </c>
      <c r="C31" s="227">
        <f>N24</f>
        <v/>
      </c>
      <c r="D31" s="227">
        <f>C32</f>
        <v/>
      </c>
      <c r="E31" s="227">
        <f>D32</f>
        <v/>
      </c>
      <c r="F31" s="227">
        <f>E32</f>
        <v/>
      </c>
      <c r="G31" s="234" t="n"/>
      <c r="H31" s="21" t="n"/>
      <c r="I31" s="241" t="n"/>
      <c r="J31" s="21" t="n"/>
      <c r="K31" s="21" t="n"/>
      <c r="L31" s="21" t="n"/>
      <c r="M31" s="21" t="n"/>
      <c r="N31" s="21" t="n"/>
      <c r="O31" s="21" t="n"/>
    </row>
    <row r="32" ht="16.2" customHeight="1" thickBot="1">
      <c r="B32" s="235" t="inlineStr">
        <is>
          <t>CLOSING CASH BALANCE</t>
        </is>
      </c>
      <c r="C32" s="236">
        <f>C31+C30</f>
        <v/>
      </c>
      <c r="D32" s="236">
        <f>D31+D30</f>
        <v/>
      </c>
      <c r="E32" s="236">
        <f>E31+E30</f>
        <v/>
      </c>
      <c r="F32" s="236">
        <f>F31+F30</f>
        <v/>
      </c>
      <c r="G32" s="226">
        <f>F32</f>
        <v/>
      </c>
      <c r="H32" s="21" t="n"/>
      <c r="I32" s="21" t="n"/>
      <c r="J32" s="21" t="n"/>
      <c r="K32" s="21" t="n"/>
      <c r="L32" s="21" t="n"/>
      <c r="M32" s="21" t="n"/>
      <c r="N32" s="21" t="n"/>
      <c r="O32" s="21" t="n"/>
    </row>
    <row r="33" ht="15.6" customHeight="1">
      <c r="C33" s="193" t="n"/>
      <c r="D33" s="193" t="n"/>
      <c r="E33" s="193" t="n"/>
      <c r="F33" s="193" t="n"/>
      <c r="G33" s="193" t="n"/>
      <c r="H33" s="21" t="n"/>
      <c r="I33" s="21" t="n"/>
      <c r="J33" s="21" t="n"/>
      <c r="K33" s="21" t="n"/>
      <c r="L33" s="21" t="n"/>
      <c r="M33" s="21" t="n"/>
      <c r="N33" s="21" t="n"/>
      <c r="O33" s="21" t="n"/>
    </row>
    <row r="34" ht="15.6" customHeight="1">
      <c r="B34" s="229" t="inlineStr">
        <is>
          <t>Note: Yr2-5 net CF = Revenue − Operating Costs (EBITDA proxy). Loan repayments excluded here; see Costs sheet Part F for full debt schedule.</t>
        </is>
      </c>
      <c r="C34" s="230" t="n"/>
      <c r="D34" s="230" t="n"/>
      <c r="E34" s="230" t="n"/>
      <c r="F34" s="230" t="n"/>
      <c r="G34" s="230" t="n"/>
      <c r="H34" s="21" t="n"/>
      <c r="I34" s="21" t="n"/>
      <c r="J34" s="21" t="n"/>
      <c r="K34" s="21" t="n"/>
      <c r="L34" s="21" t="n"/>
      <c r="M34" s="21" t="n"/>
      <c r="N34" s="21" t="n"/>
      <c r="O34" s="21" t="n"/>
    </row>
    <row r="35" ht="16.2" customHeight="1" thickBot="1">
      <c r="B35" s="237" t="n"/>
      <c r="C35" s="238" t="n"/>
      <c r="D35" s="230" t="n"/>
      <c r="E35" s="230" t="n"/>
      <c r="F35" s="230" t="n"/>
      <c r="G35" s="230" t="n"/>
      <c r="H35" s="21" t="n"/>
      <c r="I35" s="21" t="n"/>
      <c r="J35" s="21" t="n"/>
      <c r="K35" s="21" t="n"/>
      <c r="L35" s="21" t="n"/>
      <c r="M35" s="21" t="n"/>
      <c r="N35" s="21" t="n"/>
      <c r="O35" s="21" t="n"/>
    </row>
    <row r="36" ht="17.4" customHeight="1">
      <c r="B36" s="125" t="inlineStr">
        <is>
          <t xml:space="preserve">  CASH FLOW KPIs</t>
        </is>
      </c>
      <c r="C36" s="127" t="n"/>
      <c r="D36" s="21" t="n"/>
      <c r="E36" s="21" t="n"/>
      <c r="F36" s="21" t="n"/>
      <c r="G36" s="21" t="n"/>
      <c r="H36" s="21" t="n"/>
      <c r="I36" s="21" t="n"/>
      <c r="J36" s="21" t="n"/>
      <c r="K36" s="21" t="n"/>
    </row>
    <row r="37" ht="15.6" customHeight="1">
      <c r="B37" s="61" t="inlineStr">
        <is>
          <t>Min Monthly Closing Balance (Yr 1)</t>
        </is>
      </c>
      <c r="C37" s="62">
        <f>MIN(C24:N24)</f>
        <v/>
      </c>
      <c r="D37" s="21" t="n"/>
      <c r="E37" s="21" t="n"/>
      <c r="F37" s="21" t="n"/>
      <c r="G37" s="21" t="n"/>
      <c r="H37" s="21" t="n"/>
      <c r="I37" s="21" t="n"/>
      <c r="J37" s="21" t="n"/>
      <c r="K37" s="21" t="n"/>
    </row>
    <row r="38" ht="15.6" customHeight="1">
      <c r="B38" s="61" t="inlineStr">
        <is>
          <t>Max Monthly Closing Balance (Yr 1)</t>
        </is>
      </c>
      <c r="C38" s="62">
        <f>MAX(C24:N24)</f>
        <v/>
      </c>
      <c r="D38" s="21" t="n"/>
      <c r="E38" s="21" t="n"/>
      <c r="F38" s="21" t="n"/>
      <c r="G38" s="21" t="n"/>
      <c r="H38" s="21" t="n"/>
      <c r="I38" s="21" t="n"/>
      <c r="J38" s="21" t="n"/>
      <c r="K38" s="21" t="n"/>
    </row>
    <row r="39" ht="15.6" customHeight="1">
      <c r="B39" s="61" t="inlineStr">
        <is>
          <t>Months with Negative Closing Balance</t>
        </is>
      </c>
      <c r="C39" s="239">
        <f>COUNTIF(C24:N24,"&lt;0")</f>
        <v/>
      </c>
      <c r="D39" s="21" t="n"/>
      <c r="E39" s="21" t="n"/>
      <c r="F39" s="21" t="n"/>
      <c r="G39" s="21" t="n"/>
      <c r="H39" s="21" t="n"/>
      <c r="I39" s="21" t="n"/>
      <c r="J39" s="21" t="n"/>
      <c r="K39" s="21" t="n"/>
    </row>
    <row r="40" ht="15.6" customHeight="1">
      <c r="B40" s="61" t="inlineStr">
        <is>
          <t>Avg Monthly Net Cash Flow (Yr 1)</t>
        </is>
      </c>
      <c r="C40" s="62">
        <f>AVERAGE(C22:N22)</f>
        <v/>
      </c>
      <c r="D40" s="21" t="n"/>
      <c r="E40" s="21" t="n"/>
      <c r="F40" s="21" t="n"/>
      <c r="G40" s="21" t="n"/>
      <c r="H40" s="21" t="n"/>
      <c r="I40" s="21" t="n"/>
      <c r="J40" s="21" t="n"/>
      <c r="K40" s="21" t="n"/>
    </row>
    <row r="41" ht="15.6" customHeight="1">
      <c r="B41" s="61" t="inlineStr">
        <is>
          <t>Yr 1 Total Cash Inflow</t>
        </is>
      </c>
      <c r="C41" s="62">
        <f>O11</f>
        <v/>
      </c>
      <c r="D41" s="21" t="n"/>
      <c r="E41" s="21" t="n"/>
      <c r="F41" s="21" t="n"/>
      <c r="G41" s="21" t="n"/>
      <c r="H41" s="21" t="n"/>
      <c r="I41" s="21" t="n"/>
      <c r="J41" s="21" t="n"/>
      <c r="K41" s="21" t="n"/>
    </row>
    <row r="42" ht="15.6" customHeight="1">
      <c r="B42" s="61" t="inlineStr">
        <is>
          <t>Yr 1 Total Cash Outflow</t>
        </is>
      </c>
      <c r="C42" s="62">
        <f>O19</f>
        <v/>
      </c>
      <c r="D42" s="21" t="n"/>
      <c r="E42" s="21" t="n"/>
      <c r="F42" s="21" t="n"/>
      <c r="G42" s="21" t="n"/>
      <c r="H42" s="21" t="n"/>
      <c r="I42" s="21" t="n"/>
      <c r="J42" s="21" t="n"/>
      <c r="K42" s="21" t="n"/>
    </row>
    <row r="43" ht="15.6" customHeight="1">
      <c r="B43" s="61" t="inlineStr">
        <is>
          <t>Yr 1 Net Cash Flow</t>
        </is>
      </c>
      <c r="C43" s="62">
        <f>O22</f>
        <v/>
      </c>
      <c r="D43" s="21" t="n"/>
      <c r="E43" s="21" t="n"/>
      <c r="F43" s="21" t="n"/>
      <c r="G43" s="21" t="n"/>
      <c r="H43" s="21" t="n"/>
      <c r="I43" s="21" t="n"/>
      <c r="J43" s="21" t="n"/>
      <c r="K43" s="21" t="n"/>
    </row>
    <row r="44" ht="16.2" customHeight="1" thickBot="1">
      <c r="B44" s="48" t="inlineStr">
        <is>
          <t>Closing Cash Balance Yr 5</t>
        </is>
      </c>
      <c r="C44" s="240">
        <f>F32</f>
        <v/>
      </c>
      <c r="D44" s="21" t="n"/>
      <c r="E44" s="21" t="n"/>
      <c r="F44" s="21" t="n"/>
      <c r="G44" s="21" t="n"/>
      <c r="H44" s="21" t="n"/>
      <c r="I44" s="21" t="n"/>
      <c r="J44" s="21" t="n"/>
      <c r="K44" s="21" t="n"/>
    </row>
  </sheetData>
  <mergeCells count="7">
    <mergeCell ref="B13:O13"/>
    <mergeCell ref="B21:O21"/>
    <mergeCell ref="B2:P2"/>
    <mergeCell ref="B3:P3"/>
    <mergeCell ref="B7:O7"/>
    <mergeCell ref="B5:O5"/>
    <mergeCell ref="B26:G26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>
  <sheetPr codeName="Sheet9">
    <outlinePr summaryBelow="1" summaryRight="1"/>
    <pageSetUpPr fitToPage="1"/>
  </sheetPr>
  <dimension ref="B1:H35"/>
  <sheetViews>
    <sheetView showGridLines="0" topLeftCell="A31" zoomScale="98" zoomScaleNormal="115" workbookViewId="0">
      <selection activeCell="B1" sqref="B1"/>
    </sheetView>
  </sheetViews>
  <sheetFormatPr baseColWidth="8" defaultColWidth="8.6640625" defaultRowHeight="14.4"/>
  <cols>
    <col width="3" customWidth="1" min="1" max="1"/>
    <col width="46.44140625" bestFit="1" customWidth="1" min="2" max="2"/>
    <col width="14.109375" bestFit="1" customWidth="1" min="3" max="3"/>
    <col width="14.21875" bestFit="1" customWidth="1" min="4" max="4"/>
    <col width="15.77734375" bestFit="1" customWidth="1" min="5" max="7"/>
    <col width="51.6640625" bestFit="1" customWidth="1" min="8" max="8"/>
  </cols>
  <sheetData>
    <row r="1" ht="21.6" customHeight="1" thickBot="1">
      <c r="B1" s="384" t="inlineStr">
        <is>
          <t>Navigation Tab</t>
        </is>
      </c>
    </row>
    <row r="2" ht="21" customHeight="1">
      <c r="B2" s="610" t="inlineStr">
        <is>
          <t>WORKING CAPITAL SCHEDULE — 5-YEAR PROJECTION</t>
        </is>
      </c>
      <c r="C2" s="597" t="n"/>
      <c r="D2" s="597" t="n"/>
      <c r="E2" s="597" t="n"/>
      <c r="F2" s="597" t="n"/>
      <c r="G2" s="597" t="n"/>
      <c r="H2" s="598" t="n"/>
    </row>
    <row r="3" ht="18.6" customHeight="1" thickBot="1">
      <c r="B3" s="608" t="inlineStr">
        <is>
          <t>Receivables, Payables, Advances &amp; Cash Buffer. All linked to P&amp;L and Input sheets.</t>
        </is>
      </c>
      <c r="C3" s="600" t="n"/>
      <c r="D3" s="600" t="n"/>
      <c r="E3" s="600" t="n"/>
      <c r="F3" s="600" t="n"/>
      <c r="G3" s="600" t="n"/>
      <c r="H3" s="601" t="n"/>
    </row>
    <row r="4" ht="15" customHeight="1" thickBot="1"/>
    <row r="5" ht="17.4" customHeight="1">
      <c r="B5" s="516" t="inlineStr">
        <is>
          <t xml:space="preserve">  WORKING CAPITAL COMPONENTS (₹)</t>
        </is>
      </c>
      <c r="C5" s="594" t="n"/>
      <c r="D5" s="594" t="n"/>
      <c r="E5" s="594" t="n"/>
      <c r="F5" s="594" t="n"/>
      <c r="G5" s="594" t="n"/>
      <c r="H5" s="603" t="n"/>
    </row>
    <row r="6" ht="15.6" customHeight="1">
      <c r="B6" s="25" t="inlineStr">
        <is>
          <t>Working Capital Item</t>
        </is>
      </c>
      <c r="C6" s="9" t="inlineStr">
        <is>
          <t>Year 1</t>
        </is>
      </c>
      <c r="D6" s="9" t="inlineStr">
        <is>
          <t>Year 2</t>
        </is>
      </c>
      <c r="E6" s="9" t="inlineStr">
        <is>
          <t>Year 3</t>
        </is>
      </c>
      <c r="F6" s="9" t="inlineStr">
        <is>
          <t>Year 4</t>
        </is>
      </c>
      <c r="G6" s="9" t="inlineStr">
        <is>
          <t>Year 5</t>
        </is>
      </c>
      <c r="H6" s="26" t="inlineStr">
        <is>
          <t>Notes</t>
        </is>
      </c>
    </row>
    <row r="7" ht="15.6" customHeight="1">
      <c r="B7" s="519" t="inlineStr">
        <is>
          <t xml:space="preserve">  CURRENT ASSETS</t>
        </is>
      </c>
      <c r="C7" s="585" t="n"/>
      <c r="D7" s="585" t="n"/>
      <c r="E7" s="585" t="n"/>
      <c r="F7" s="585" t="n"/>
      <c r="G7" s="585" t="n"/>
      <c r="H7" s="586" t="n"/>
    </row>
    <row r="8" ht="15" customHeight="1">
      <c r="B8" s="61" t="inlineStr">
        <is>
          <t>Trade Receivables (30-day debtors)</t>
        </is>
      </c>
      <c r="C8" s="110">
        <f>'P&amp;L'!C10/12</f>
        <v/>
      </c>
      <c r="D8" s="110">
        <f>'P&amp;L'!D10/12</f>
        <v/>
      </c>
      <c r="E8" s="110">
        <f>'P&amp;L'!E10/12</f>
        <v/>
      </c>
      <c r="F8" s="110">
        <f>'P&amp;L'!F10/12</f>
        <v/>
      </c>
      <c r="G8" s="110">
        <f>'P&amp;L'!G10/12</f>
        <v/>
      </c>
      <c r="H8" s="105" t="inlineStr">
        <is>
          <t>Customers paying within 30 days</t>
        </is>
      </c>
    </row>
    <row r="9" ht="15" customHeight="1">
      <c r="B9" s="61" t="inlineStr">
        <is>
          <t>Advance Receipts Collected (2-month)</t>
        </is>
      </c>
      <c r="C9" s="110">
        <f>'P&amp;L'!C10/12*Input!C25</f>
        <v/>
      </c>
      <c r="D9" s="110">
        <f>'P&amp;L'!D10/12*Input!C25</f>
        <v/>
      </c>
      <c r="E9" s="110">
        <f>'P&amp;L'!E10/12*Input!C25</f>
        <v/>
      </c>
      <c r="F9" s="110">
        <f>'P&amp;L'!F10/12*Input!C25</f>
        <v/>
      </c>
      <c r="G9" s="110">
        <f>'P&amp;L'!G10/12*Input!C25</f>
        <v/>
      </c>
      <c r="H9" s="105" t="inlineStr">
        <is>
          <t>Advance desk fees collected per Input!C25 months</t>
        </is>
      </c>
    </row>
    <row r="10" ht="15" customHeight="1">
      <c r="B10" s="61" t="inlineStr">
        <is>
          <t>Cash &amp; Bank Balance (closing)</t>
        </is>
      </c>
      <c r="C10" s="110">
        <f>'Cash Budget'!N24</f>
        <v/>
      </c>
      <c r="D10" s="110">
        <f>'Cash Budget'!C32</f>
        <v/>
      </c>
      <c r="E10" s="110">
        <f>'Cash Budget'!D32</f>
        <v/>
      </c>
      <c r="F10" s="110">
        <f>'Cash Budget'!E32</f>
        <v/>
      </c>
      <c r="G10" s="110">
        <f>'Cash Budget'!F32</f>
        <v/>
      </c>
      <c r="H10" s="105" t="inlineStr">
        <is>
          <t>Linked from CashBudget closing balance</t>
        </is>
      </c>
    </row>
    <row r="11" ht="15" customHeight="1">
      <c r="B11" s="61" t="inlineStr">
        <is>
          <t>Prepaid Expenses (1-month advance costs)</t>
        </is>
      </c>
      <c r="C11" s="92">
        <f>'Cost sheet'!C34</f>
        <v/>
      </c>
      <c r="D11" s="92">
        <f>C11*(1+Input!C19)</f>
        <v/>
      </c>
      <c r="E11" s="92">
        <f>D11*(1+Input!C19)</f>
        <v/>
      </c>
      <c r="F11" s="92">
        <f>E11*(1+Input!C19)</f>
        <v/>
      </c>
      <c r="G11" s="92">
        <f>F11*(1+Input!C19)</f>
        <v/>
      </c>
      <c r="H11" s="105" t="inlineStr">
        <is>
          <t>Insurance, rent advance etc.</t>
        </is>
      </c>
    </row>
    <row r="12" ht="16.2" customHeight="1" thickBot="1">
      <c r="B12" s="224" t="inlineStr">
        <is>
          <t>TOTAL CURRENT ASSETS</t>
        </is>
      </c>
      <c r="C12" s="225">
        <f>SUM(C8:C11)</f>
        <v/>
      </c>
      <c r="D12" s="225">
        <f>SUM(D8:D11)</f>
        <v/>
      </c>
      <c r="E12" s="225">
        <f>SUM(E8:E11)</f>
        <v/>
      </c>
      <c r="F12" s="225">
        <f>SUM(F8:F11)</f>
        <v/>
      </c>
      <c r="G12" s="225">
        <f>SUM(G8:G11)</f>
        <v/>
      </c>
      <c r="H12" s="245" t="inlineStr">
        <is>
          <t>Sum of all current assets</t>
        </is>
      </c>
    </row>
    <row r="13" ht="16.2" customHeight="1" thickBot="1">
      <c r="B13" s="208" t="n"/>
      <c r="C13" s="208" t="n"/>
      <c r="D13" s="208" t="n"/>
      <c r="E13" s="208" t="n"/>
      <c r="F13" s="208" t="n"/>
      <c r="G13" s="208" t="n"/>
      <c r="H13" s="208" t="n"/>
    </row>
    <row r="14" ht="15.6" customHeight="1">
      <c r="B14" s="532" t="inlineStr">
        <is>
          <t xml:space="preserve">  CURRENT LIABILITIES</t>
        </is>
      </c>
      <c r="C14" s="594" t="n"/>
      <c r="D14" s="594" t="n"/>
      <c r="E14" s="594" t="n"/>
      <c r="F14" s="594" t="n"/>
      <c r="G14" s="594" t="n"/>
      <c r="H14" s="603" t="n"/>
    </row>
    <row r="15" ht="15" customHeight="1">
      <c r="B15" s="61" t="inlineStr">
        <is>
          <t>Trade Payables (30-day creditor terms)</t>
        </is>
      </c>
      <c r="C15" s="228">
        <f>'Cost sheet'!C34+'Cost sheet'!C51</f>
        <v/>
      </c>
      <c r="D15" s="228">
        <f>('P&amp;L'!D13+'P&amp;L'!D24)/12</f>
        <v/>
      </c>
      <c r="E15" s="228">
        <f>('P&amp;L'!E13+'P&amp;L'!E24)/12</f>
        <v/>
      </c>
      <c r="F15" s="228">
        <f>('P&amp;L'!F13+'P&amp;L'!F24)/12</f>
        <v/>
      </c>
      <c r="G15" s="228">
        <f>('P&amp;L'!G13+'P&amp;L'!G24)/12</f>
        <v/>
      </c>
      <c r="H15" s="105" t="inlineStr">
        <is>
          <t>Vendors, utilities, consumables on 30-day terms</t>
        </is>
      </c>
    </row>
    <row r="16" ht="15" customHeight="1">
      <c r="B16" s="61" t="inlineStr">
        <is>
          <t>Advance from Customers (refundable)</t>
        </is>
      </c>
      <c r="C16" s="228">
        <f>C9</f>
        <v/>
      </c>
      <c r="D16" s="228">
        <f>D9</f>
        <v/>
      </c>
      <c r="E16" s="228">
        <f>E9</f>
        <v/>
      </c>
      <c r="F16" s="228">
        <f>F9</f>
        <v/>
      </c>
      <c r="G16" s="228">
        <f>G9</f>
        <v/>
      </c>
      <c r="H16" s="105" t="inlineStr">
        <is>
          <t>Mirrors advance receipts current asset (net = 0)</t>
        </is>
      </c>
    </row>
    <row r="17" ht="15" customHeight="1">
      <c r="B17" s="61" t="inlineStr">
        <is>
          <t>Salaries Payable (current month accrual)</t>
        </is>
      </c>
      <c r="C17" s="228">
        <f>('Cost sheet'!C21+'Cost sheet'!C22+'Cost sheet'!C23+'Cost sheet'!C24+'Cost sheet'!C25+'Cost sheet'!C26)</f>
        <v/>
      </c>
      <c r="D17" s="228">
        <f>C17*(1+Input!C19)</f>
        <v/>
      </c>
      <c r="E17" s="228">
        <f>D17*(1+Input!C19)</f>
        <v/>
      </c>
      <c r="F17" s="228">
        <f>E17*(1+Input!C19)</f>
        <v/>
      </c>
      <c r="G17" s="228">
        <f>F17*(1+Input!C19)</f>
        <v/>
      </c>
      <c r="H17" s="105" t="inlineStr">
        <is>
          <t>Salaries accrued but unpaid at month-end</t>
        </is>
      </c>
    </row>
    <row r="18" ht="15" customHeight="1">
      <c r="B18" s="61" t="inlineStr">
        <is>
          <t>Loan — Current Portion (annual principal due)</t>
        </is>
      </c>
      <c r="C18" s="228">
        <f>'Cost sheet'!C82</f>
        <v/>
      </c>
      <c r="D18" s="228">
        <f>'Cost sheet'!C82*(1+0.02)</f>
        <v/>
      </c>
      <c r="E18" s="228">
        <f>'Cost sheet'!C82*(1+0.04)</f>
        <v/>
      </c>
      <c r="F18" s="228">
        <f>'Cost sheet'!C82*(1+0.06)</f>
        <v/>
      </c>
      <c r="G18" s="228">
        <f>'Cost sheet'!C82*(1+0.08)</f>
        <v/>
      </c>
      <c r="H18" s="105" t="inlineStr">
        <is>
          <t>Current portion of long-term loan</t>
        </is>
      </c>
    </row>
    <row r="19" ht="16.2" customHeight="1" thickBot="1">
      <c r="B19" s="231" t="inlineStr">
        <is>
          <t>TOTAL CURRENT LIABILITIES</t>
        </is>
      </c>
      <c r="C19" s="232">
        <f>SUM(C15:C18)</f>
        <v/>
      </c>
      <c r="D19" s="232">
        <f>SUM(D15:D18)</f>
        <v/>
      </c>
      <c r="E19" s="232">
        <f>SUM(E15:E18)</f>
        <v/>
      </c>
      <c r="F19" s="232">
        <f>SUM(F15:F18)</f>
        <v/>
      </c>
      <c r="G19" s="232">
        <f>SUM(G15:G18)</f>
        <v/>
      </c>
      <c r="H19" s="246" t="inlineStr">
        <is>
          <t>Sum of all current liabilities</t>
        </is>
      </c>
    </row>
    <row r="20" ht="16.2" customHeight="1" thickBot="1">
      <c r="B20" s="208" t="n"/>
      <c r="C20" s="208" t="n"/>
      <c r="D20" s="208" t="n"/>
      <c r="E20" s="208" t="n"/>
      <c r="F20" s="208" t="n"/>
      <c r="G20" s="208" t="n"/>
      <c r="H20" s="208" t="n"/>
    </row>
    <row r="21" ht="15.6" customHeight="1">
      <c r="B21" s="532" t="inlineStr">
        <is>
          <t xml:space="preserve">  NET WORKING CAPITAL &amp; RATIOS</t>
        </is>
      </c>
      <c r="C21" s="594" t="n"/>
      <c r="D21" s="594" t="n"/>
      <c r="E21" s="594" t="n"/>
      <c r="F21" s="594" t="n"/>
      <c r="G21" s="594" t="n"/>
      <c r="H21" s="603" t="n"/>
    </row>
    <row r="22" ht="15.6" customHeight="1">
      <c r="B22" s="203" t="inlineStr">
        <is>
          <t>NET WORKING CAPITAL  (CA − CL)</t>
        </is>
      </c>
      <c r="C22" s="190">
        <f>C12-C19</f>
        <v/>
      </c>
      <c r="D22" s="190">
        <f>D12-D19</f>
        <v/>
      </c>
      <c r="E22" s="190">
        <f>E12-E19</f>
        <v/>
      </c>
      <c r="F22" s="190">
        <f>F12-F19</f>
        <v/>
      </c>
      <c r="G22" s="190">
        <f>G12-G19</f>
        <v/>
      </c>
      <c r="H22" s="249" t="inlineStr">
        <is>
          <t>Positive = healthy; Negative = short-term stress</t>
        </is>
      </c>
    </row>
    <row r="23" ht="15" customHeight="1">
      <c r="B23" s="61" t="inlineStr">
        <is>
          <t>Current Ratio  (CA ÷ CL)</t>
        </is>
      </c>
      <c r="C23" s="242">
        <f>IFERROR(C12/C19,0)</f>
        <v/>
      </c>
      <c r="D23" s="242">
        <f>IFERROR(D12/D19,0)</f>
        <v/>
      </c>
      <c r="E23" s="242">
        <f>IFERROR(E12/E19,0)</f>
        <v/>
      </c>
      <c r="F23" s="242">
        <f>IFERROR(F12/F19,0)</f>
        <v/>
      </c>
      <c r="G23" s="242">
        <f>IFERROR(G12/G19,0)</f>
        <v/>
      </c>
      <c r="H23" s="105" t="inlineStr">
        <is>
          <t>Current assets ÷ current liabilities</t>
        </is>
      </c>
    </row>
    <row r="24" ht="15" customHeight="1">
      <c r="B24" s="61" t="inlineStr">
        <is>
          <t>Quick Ratio  ((CA − Prepaid) ÷ CL)</t>
        </is>
      </c>
      <c r="C24" s="242">
        <f>IFERROR((C12-C11)/C19,0)</f>
        <v/>
      </c>
      <c r="D24" s="242">
        <f>IFERROR((D12-D11)/D19,0)</f>
        <v/>
      </c>
      <c r="E24" s="242">
        <f>IFERROR((E12-E11)/E19,0)</f>
        <v/>
      </c>
      <c r="F24" s="242">
        <f>IFERROR((F12-F11)/F19,0)</f>
        <v/>
      </c>
      <c r="G24" s="242">
        <f>IFERROR((G12-G11)/G19,0)</f>
        <v/>
      </c>
      <c r="H24" s="105" t="inlineStr">
        <is>
          <t>Liquid assets ÷ current liabilities</t>
        </is>
      </c>
    </row>
    <row r="25" ht="15" customHeight="1">
      <c r="B25" s="61" t="inlineStr">
        <is>
          <t>Cash Buffer  (months of fixed costs)</t>
        </is>
      </c>
      <c r="C25" s="243">
        <f>IFERROR(C10/'Cost sheet'!C34,0)</f>
        <v/>
      </c>
      <c r="D25" s="243">
        <f>IFERROR(D10/('P&amp;L'!D24/12),0)</f>
        <v/>
      </c>
      <c r="E25" s="243">
        <f>IFERROR(E10/('P&amp;L'!E24/12),0)</f>
        <v/>
      </c>
      <c r="F25" s="243">
        <f>IFERROR(F10/('P&amp;L'!F24/12),0)</f>
        <v/>
      </c>
      <c r="G25" s="243">
        <f>IFERROR(G10/('P&amp;L'!G24/12),0)</f>
        <v/>
      </c>
      <c r="H25" s="105" t="inlineStr">
        <is>
          <t>Cash balance ÷ monthly fixed costs</t>
        </is>
      </c>
    </row>
    <row r="26" ht="15.6" customHeight="1" thickBot="1">
      <c r="B26" s="48" t="inlineStr">
        <is>
          <t>Working Capital Days</t>
        </is>
      </c>
      <c r="C26" s="250">
        <f>IFERROR(C22/('P&amp;L'!C10/365),0)</f>
        <v/>
      </c>
      <c r="D26" s="250">
        <f>IFERROR(D22/('P&amp;L'!D10/365),0)</f>
        <v/>
      </c>
      <c r="E26" s="250">
        <f>IFERROR(E22/('P&amp;L'!E10/365),0)</f>
        <v/>
      </c>
      <c r="F26" s="250">
        <f>IFERROR(F22/('P&amp;L'!F10/365),0)</f>
        <v/>
      </c>
      <c r="G26" s="250">
        <f>IFERROR(G22/('P&amp;L'!G10/365),0)</f>
        <v/>
      </c>
      <c r="H26" s="51" t="inlineStr">
        <is>
          <t>Days of revenue tied up in working capital</t>
        </is>
      </c>
    </row>
    <row r="27" ht="15" customHeight="1">
      <c r="B27" s="247" t="n"/>
      <c r="C27" s="248" t="n"/>
      <c r="D27" s="248" t="n"/>
      <c r="E27" s="248" t="n"/>
      <c r="F27" s="248" t="n"/>
      <c r="G27" s="248" t="n"/>
      <c r="H27" s="247" t="n"/>
    </row>
    <row r="28" ht="15.6" customHeight="1">
      <c r="B28" s="535" t="inlineStr">
        <is>
          <t>ℹ  High WC Days &amp; Cash Buffer reflect loan proceeds (₹14.3 Cr) held in cash. Operational WC excludes loan capital. Switch to Rent scenario for leaner cash position.</t>
        </is>
      </c>
      <c r="C28" s="585" t="n"/>
      <c r="D28" s="585" t="n"/>
      <c r="E28" s="585" t="n"/>
      <c r="F28" s="585" t="n"/>
      <c r="G28" s="585" t="n"/>
      <c r="H28" s="586" t="n"/>
    </row>
    <row r="29" ht="16.2" customHeight="1" thickBot="1">
      <c r="B29" s="251" t="n"/>
      <c r="C29" s="251" t="n"/>
      <c r="D29" s="251" t="n"/>
      <c r="E29" s="251" t="n"/>
      <c r="F29" s="251" t="n"/>
      <c r="G29" s="251" t="n"/>
      <c r="H29" s="251" t="n"/>
    </row>
    <row r="30" ht="15.6" customHeight="1">
      <c r="B30" s="532" t="inlineStr">
        <is>
          <t xml:space="preserve">  RECEIVABLES &amp; PAYABLES DETAIL</t>
        </is>
      </c>
      <c r="C30" s="594" t="n"/>
      <c r="D30" s="594" t="n"/>
      <c r="E30" s="594" t="n"/>
      <c r="F30" s="594" t="n"/>
      <c r="G30" s="594" t="n"/>
      <c r="H30" s="603" t="n"/>
    </row>
    <row r="31" ht="15.6" customHeight="1">
      <c r="B31" s="25" t="inlineStr">
        <is>
          <t>Metric</t>
        </is>
      </c>
      <c r="C31" s="9" t="inlineStr">
        <is>
          <t>Year 1</t>
        </is>
      </c>
      <c r="D31" s="9" t="inlineStr">
        <is>
          <t>Year 2</t>
        </is>
      </c>
      <c r="E31" s="9" t="inlineStr">
        <is>
          <t>Year 3</t>
        </is>
      </c>
      <c r="F31" s="9" t="inlineStr">
        <is>
          <t>Year 4</t>
        </is>
      </c>
      <c r="G31" s="9" t="inlineStr">
        <is>
          <t>Year 5</t>
        </is>
      </c>
      <c r="H31" s="26" t="inlineStr">
        <is>
          <t>Notes</t>
        </is>
      </c>
    </row>
    <row r="32" ht="15" customHeight="1">
      <c r="B32" s="61" t="inlineStr">
        <is>
          <t>Debtor Days (Receivable Collection Period)</t>
        </is>
      </c>
      <c r="C32" s="244">
        <f>IFERROR(C8/('P&amp;L'!C10/365),0)</f>
        <v/>
      </c>
      <c r="D32" s="244">
        <f>IFERROR(D8/('P&amp;L'!D10/365),0)</f>
        <v/>
      </c>
      <c r="E32" s="244">
        <f>IFERROR(E8/('P&amp;L'!E10/365),0)</f>
        <v/>
      </c>
      <c r="F32" s="244">
        <f>IFERROR(F8/('P&amp;L'!F10/365),0)</f>
        <v/>
      </c>
      <c r="G32" s="244">
        <f>IFERROR(G8/('P&amp;L'!G10/365),0)</f>
        <v/>
      </c>
      <c r="H32" s="105" t="inlineStr">
        <is>
          <t>Target: ≤ 30 days</t>
        </is>
      </c>
    </row>
    <row r="33" ht="15" customHeight="1">
      <c r="B33" s="61" t="inlineStr">
        <is>
          <t>Creditor Days (Payable Payment Period)</t>
        </is>
      </c>
      <c r="C33" s="244">
        <f>IFERROR(C15/('P&amp;L'!C13+'P&amp;L'!C24)*365,0)</f>
        <v/>
      </c>
      <c r="D33" s="244">
        <f>IFERROR(D15/('P&amp;L'!D13+'P&amp;L'!D24)*365,0)</f>
        <v/>
      </c>
      <c r="E33" s="244">
        <f>IFERROR(E15/('P&amp;L'!E13+'P&amp;L'!E24)*365,0)</f>
        <v/>
      </c>
      <c r="F33" s="244">
        <f>IFERROR(F15/('P&amp;L'!F13+'P&amp;L'!F24)*365,0)</f>
        <v/>
      </c>
      <c r="G33" s="244">
        <f>IFERROR(G15/('P&amp;L'!G13+'P&amp;L'!G24)*365,0)</f>
        <v/>
      </c>
      <c r="H33" s="105" t="inlineStr">
        <is>
          <t>Target: ≤ 30 days</t>
        </is>
      </c>
    </row>
    <row r="34" ht="15" customHeight="1">
      <c r="B34" s="61" t="inlineStr">
        <is>
          <t>Advance Collection (months)</t>
        </is>
      </c>
      <c r="C34" s="244">
        <f>Input!C25</f>
        <v/>
      </c>
      <c r="D34" s="244">
        <f>Input!C25</f>
        <v/>
      </c>
      <c r="E34" s="244">
        <f>Input!C25</f>
        <v/>
      </c>
      <c r="F34" s="244">
        <f>Input!C25</f>
        <v/>
      </c>
      <c r="G34" s="244">
        <f>Input!C25</f>
        <v/>
      </c>
      <c r="H34" s="105" t="inlineStr">
        <is>
          <t>From Input!C25</t>
        </is>
      </c>
    </row>
    <row r="35" ht="15.6" customHeight="1" thickBot="1">
      <c r="B35" s="48" t="inlineStr">
        <is>
          <t>Monthly Revenue Cycle (days)</t>
        </is>
      </c>
      <c r="C35" s="250">
        <f>30</f>
        <v/>
      </c>
      <c r="D35" s="250">
        <f>30</f>
        <v/>
      </c>
      <c r="E35" s="250">
        <f>30</f>
        <v/>
      </c>
      <c r="F35" s="250">
        <f>30</f>
        <v/>
      </c>
      <c r="G35" s="250">
        <f>30</f>
        <v/>
      </c>
      <c r="H35" s="51" t="inlineStr">
        <is>
          <t>Monthly subscription model = 30-day cycle</t>
        </is>
      </c>
    </row>
  </sheetData>
  <mergeCells count="8">
    <mergeCell ref="B14:H14"/>
    <mergeCell ref="B21:H21"/>
    <mergeCell ref="B30:H30"/>
    <mergeCell ref="B2:H2"/>
    <mergeCell ref="B7:H7"/>
    <mergeCell ref="B3:H3"/>
    <mergeCell ref="B5:H5"/>
    <mergeCell ref="B28:H28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>
  <sheetPr codeName="Sheet10">
    <outlinePr summaryBelow="1" summaryRight="1"/>
    <pageSetUpPr fitToPage="1"/>
  </sheetPr>
  <dimension ref="B1:G53"/>
  <sheetViews>
    <sheetView showGridLines="0" topLeftCell="A38" zoomScale="98" zoomScaleNormal="115" workbookViewId="0">
      <selection activeCell="B1" sqref="B1"/>
    </sheetView>
  </sheetViews>
  <sheetFormatPr baseColWidth="8" defaultColWidth="8.6640625" defaultRowHeight="14.4"/>
  <cols>
    <col width="3" customWidth="1" min="1" max="1"/>
    <col width="65.5546875" bestFit="1" customWidth="1" min="2" max="2"/>
    <col width="16.44140625" bestFit="1" customWidth="1" min="3" max="3"/>
    <col width="15.77734375" bestFit="1" customWidth="1" min="4" max="4"/>
    <col width="41.77734375" bestFit="1" customWidth="1" min="5" max="5"/>
    <col width="13.5546875" bestFit="1" customWidth="1" min="6" max="6"/>
    <col width="22" customWidth="1" min="7" max="7"/>
  </cols>
  <sheetData>
    <row r="1" ht="21.6" customHeight="1" thickBot="1">
      <c r="B1" s="384" t="inlineStr">
        <is>
          <t>Navigation Tab</t>
        </is>
      </c>
    </row>
    <row r="2" ht="21" customHeight="1">
      <c r="B2" s="610" t="inlineStr">
        <is>
          <t>STANDARD COSTING — COST PER DESK &amp; PER USER</t>
        </is>
      </c>
      <c r="C2" s="597" t="n"/>
      <c r="D2" s="597" t="n"/>
      <c r="E2" s="597" t="n"/>
      <c r="F2" s="597" t="n"/>
      <c r="G2" s="598" t="n"/>
    </row>
    <row r="3" ht="16.2" customHeight="1" thickBot="1">
      <c r="B3" s="630" t="inlineStr">
        <is>
          <t>Standard costs derived from Input &amp; Assumptions. All formulas linked .</t>
        </is>
      </c>
      <c r="C3" s="600" t="n"/>
      <c r="D3" s="600" t="n"/>
      <c r="E3" s="600" t="n"/>
      <c r="F3" s="600" t="n"/>
      <c r="G3" s="601" t="n"/>
    </row>
    <row r="4" ht="15" customHeight="1" thickBot="1"/>
    <row r="5" ht="17.4" customHeight="1">
      <c r="B5" s="488" t="inlineStr">
        <is>
          <t xml:space="preserve">  A. STANDARD CAPACITY PARAMETERS</t>
        </is>
      </c>
      <c r="C5" s="594" t="n"/>
      <c r="D5" s="594" t="n"/>
      <c r="E5" s="594" t="n"/>
    </row>
    <row r="6" ht="31.2" customHeight="1">
      <c r="B6" s="25" t="inlineStr">
        <is>
          <t>Parameter</t>
        </is>
      </c>
      <c r="C6" s="9" t="inlineStr">
        <is>
          <t>Standard Value</t>
        </is>
      </c>
      <c r="D6" s="9" t="inlineStr">
        <is>
          <t>Unit</t>
        </is>
      </c>
      <c r="E6" s="26" t="inlineStr">
        <is>
          <t>Source / Notes</t>
        </is>
      </c>
    </row>
    <row r="7" ht="15" customHeight="1">
      <c r="B7" s="61" t="inlineStr">
        <is>
          <t>Total Installed Capacity (seats)</t>
        </is>
      </c>
      <c r="C7" s="252">
        <f>Input!C10</f>
        <v/>
      </c>
      <c r="D7" s="181" t="inlineStr">
        <is>
          <t>seats</t>
        </is>
      </c>
      <c r="E7" s="105" t="inlineStr">
        <is>
          <t>Input!C10</t>
        </is>
      </c>
    </row>
    <row r="8" ht="15" customHeight="1">
      <c r="B8" s="61" t="inlineStr">
        <is>
          <t>Standard Occupancy Rate</t>
        </is>
      </c>
      <c r="C8" s="253">
        <f>Input!C13</f>
        <v/>
      </c>
      <c r="D8" s="181" t="inlineStr">
        <is>
          <t>%</t>
        </is>
      </c>
      <c r="E8" s="105" t="inlineStr">
        <is>
          <t>Input!C13</t>
        </is>
      </c>
    </row>
    <row r="9" ht="15" customHeight="1">
      <c r="B9" s="61" t="inlineStr">
        <is>
          <t>Standard Occupied Seats</t>
        </is>
      </c>
      <c r="C9" s="252">
        <f>Input!C10*Input!C13</f>
        <v/>
      </c>
      <c r="D9" s="181" t="inlineStr">
        <is>
          <t>seats</t>
        </is>
      </c>
      <c r="E9" s="105" t="inlineStr">
        <is>
          <t>Total × Occupancy</t>
        </is>
      </c>
    </row>
    <row r="10" ht="15" customHeight="1">
      <c r="B10" s="61" t="inlineStr">
        <is>
          <t>Total Floor Area</t>
        </is>
      </c>
      <c r="C10" s="252">
        <f>Input!C12</f>
        <v/>
      </c>
      <c r="D10" s="181" t="inlineStr">
        <is>
          <t>sq ft</t>
        </is>
      </c>
      <c r="E10" s="105" t="inlineStr">
        <is>
          <t>Input!C12</t>
        </is>
      </c>
    </row>
    <row r="11" ht="15" customHeight="1">
      <c r="B11" s="61" t="inlineStr">
        <is>
          <t>Area per Seat</t>
        </is>
      </c>
      <c r="C11" s="252">
        <f>Input!C12/Input!C10</f>
        <v/>
      </c>
      <c r="D11" s="181" t="inlineStr">
        <is>
          <t>sq ft</t>
        </is>
      </c>
      <c r="E11" s="105" t="inlineStr">
        <is>
          <t>Total Area / Seats</t>
        </is>
      </c>
    </row>
    <row r="12" ht="15" customHeight="1">
      <c r="B12" s="61" t="inlineStr">
        <is>
          <t>Standard Revenue per Seat (month)</t>
        </is>
      </c>
      <c r="C12" s="110">
        <f>Input!C14</f>
        <v/>
      </c>
      <c r="D12" s="181" t="inlineStr">
        <is>
          <t>₹/seat</t>
        </is>
      </c>
      <c r="E12" s="105" t="inlineStr">
        <is>
          <t>Input!C14</t>
        </is>
      </c>
    </row>
    <row r="13" ht="15" customHeight="1">
      <c r="B13" s="61" t="inlineStr">
        <is>
          <t>Operating Days per Year</t>
        </is>
      </c>
      <c r="C13" s="11" t="n">
        <v>365</v>
      </c>
      <c r="D13" s="181" t="inlineStr">
        <is>
          <t>days</t>
        </is>
      </c>
      <c r="E13" s="105" t="inlineStr">
        <is>
          <t>Calendar assumption</t>
        </is>
      </c>
    </row>
    <row r="14" ht="15.6" customHeight="1" thickBot="1">
      <c r="B14" s="48" t="inlineStr">
        <is>
          <t>Operating Hours per Day</t>
        </is>
      </c>
      <c r="C14" s="34" t="n">
        <v>10</v>
      </c>
      <c r="D14" s="213" t="inlineStr">
        <is>
          <t>hours</t>
        </is>
      </c>
      <c r="E14" s="51" t="inlineStr">
        <is>
          <t>9 AM – 7 PM</t>
        </is>
      </c>
    </row>
    <row r="15" ht="16.2" customHeight="1" thickBot="1">
      <c r="B15" s="208" t="n"/>
      <c r="C15" s="208" t="n"/>
      <c r="D15" s="208" t="n"/>
      <c r="E15" s="208" t="n"/>
      <c r="F15" s="255" t="n"/>
      <c r="G15" s="184" t="n"/>
    </row>
    <row r="16" ht="17.4" customHeight="1">
      <c r="B16" s="612" t="inlineStr">
        <is>
          <t xml:space="preserve">  B. STANDARD FIXED COST PER SEAT (MONTHLY)</t>
        </is>
      </c>
      <c r="C16" s="594" t="n"/>
      <c r="D16" s="594" t="n"/>
      <c r="E16" s="594" t="n"/>
      <c r="F16" s="595" t="n"/>
    </row>
    <row r="17" ht="31.2" customHeight="1">
      <c r="B17" s="25" t="inlineStr">
        <is>
          <t>Fixed Cost Component</t>
        </is>
      </c>
      <c r="C17" s="9" t="inlineStr">
        <is>
          <t>Monthly Total (₹)</t>
        </is>
      </c>
      <c r="D17" s="9" t="inlineStr">
        <is>
          <t>Per Total Seat (₹)</t>
        </is>
      </c>
      <c r="E17" s="9" t="inlineStr">
        <is>
          <t>Per Occupied Seat (₹)</t>
        </is>
      </c>
      <c r="F17" s="26" t="inlineStr">
        <is>
          <t>% of Total Fixed</t>
        </is>
      </c>
    </row>
    <row r="18" ht="15" customHeight="1">
      <c r="B18" s="265" t="inlineStr">
        <is>
          <t>Rent / EMI</t>
        </is>
      </c>
      <c r="C18" s="110">
        <f>'Cost sheet'!C20</f>
        <v/>
      </c>
      <c r="D18" s="92">
        <f>IFERROR(C18/Input!C10,0)</f>
        <v/>
      </c>
      <c r="E18" s="92">
        <f>IFERROR(C18/(Input!C10*Input!C13),0)</f>
        <v/>
      </c>
      <c r="F18" s="256">
        <f>IFERROR(C18/'Cost sheet'!C34,0)</f>
        <v/>
      </c>
    </row>
    <row r="19" ht="15" customHeight="1">
      <c r="B19" s="265" t="inlineStr">
        <is>
          <t>Salaries — all staff</t>
        </is>
      </c>
      <c r="C19" s="110">
        <f>'Cost sheet'!C21+'Cost sheet'!C22+'Cost sheet'!C23+'Cost sheet'!C24+'Cost sheet'!C25+'Cost sheet'!C26</f>
        <v/>
      </c>
      <c r="D19" s="92">
        <f>IFERROR(C19/Input!C10,0)</f>
        <v/>
      </c>
      <c r="E19" s="92">
        <f>IFERROR(C19/(Input!C10*Input!C13),0)</f>
        <v/>
      </c>
      <c r="F19" s="256">
        <f>IFERROR(C19/'Cost sheet'!C34,0)</f>
        <v/>
      </c>
    </row>
    <row r="20" ht="15" customHeight="1">
      <c r="B20" s="265" t="inlineStr">
        <is>
          <t>Internet</t>
        </is>
      </c>
      <c r="C20" s="110">
        <f>'Cost sheet'!C27</f>
        <v/>
      </c>
      <c r="D20" s="92">
        <f>IFERROR(C20/Input!C10,0)</f>
        <v/>
      </c>
      <c r="E20" s="92">
        <f>IFERROR(C20/(Input!C10*Input!C13),0)</f>
        <v/>
      </c>
      <c r="F20" s="256">
        <f>IFERROR(C20/'Cost sheet'!C34,0)</f>
        <v/>
      </c>
    </row>
    <row r="21" ht="15" customHeight="1">
      <c r="B21" s="265" t="inlineStr">
        <is>
          <t>Electricity (base)</t>
        </is>
      </c>
      <c r="C21" s="110">
        <f>'Cost sheet'!C28</f>
        <v/>
      </c>
      <c r="D21" s="92">
        <f>IFERROR(C21/Input!C10,0)</f>
        <v/>
      </c>
      <c r="E21" s="92">
        <f>IFERROR(C21/(Input!C10*Input!C13),0)</f>
        <v/>
      </c>
      <c r="F21" s="256">
        <f>IFERROR(C21/'Cost sheet'!C34,0)</f>
        <v/>
      </c>
    </row>
    <row r="22" ht="15" customHeight="1">
      <c r="B22" s="265" t="inlineStr">
        <is>
          <t>Maintenance</t>
        </is>
      </c>
      <c r="C22" s="110">
        <f>'Cost sheet'!C29</f>
        <v/>
      </c>
      <c r="D22" s="92">
        <f>IFERROR(C22/Input!C10,0)</f>
        <v/>
      </c>
      <c r="E22" s="92">
        <f>IFERROR(C22/(Input!C10*Input!C13),0)</f>
        <v/>
      </c>
      <c r="F22" s="256">
        <f>IFERROR(C22/'Cost sheet'!C34,0)</f>
        <v/>
      </c>
    </row>
    <row r="23" ht="15" customHeight="1">
      <c r="B23" s="265" t="inlineStr">
        <is>
          <t>Marketing</t>
        </is>
      </c>
      <c r="C23" s="110">
        <f>'Cost sheet'!C30</f>
        <v/>
      </c>
      <c r="D23" s="92">
        <f>IFERROR(C23/Input!C10,0)</f>
        <v/>
      </c>
      <c r="E23" s="92">
        <f>IFERROR(C23/(Input!C10*Input!C13),0)</f>
        <v/>
      </c>
      <c r="F23" s="256">
        <f>IFERROR(C23/'Cost sheet'!C34,0)</f>
        <v/>
      </c>
    </row>
    <row r="24" ht="15" customHeight="1">
      <c r="B24" s="265" t="inlineStr">
        <is>
          <t>Admin, Insurance &amp; Misc</t>
        </is>
      </c>
      <c r="C24" s="110">
        <f>'Cost sheet'!C31+'Cost sheet'!C32+'Cost sheet'!C33</f>
        <v/>
      </c>
      <c r="D24" s="92">
        <f>IFERROR(C24/Input!C10,0)</f>
        <v/>
      </c>
      <c r="E24" s="92">
        <f>IFERROR(C24/(Input!C10*Input!C13),0)</f>
        <v/>
      </c>
      <c r="F24" s="256">
        <f>IFERROR(C24/'Cost sheet'!C34,0)</f>
        <v/>
      </c>
    </row>
    <row r="25" ht="16.2" customHeight="1" thickBot="1">
      <c r="B25" s="257" t="inlineStr">
        <is>
          <t>TOTAL FIXED COST</t>
        </is>
      </c>
      <c r="C25" s="172">
        <f>'Cost sheet'!C34</f>
        <v/>
      </c>
      <c r="D25" s="172">
        <f>IFERROR('Cost sheet'!C34/Input!C10,0)</f>
        <v/>
      </c>
      <c r="E25" s="172">
        <f>IFERROR('Cost sheet'!C34/(Input!C10*Input!C13),0)</f>
        <v/>
      </c>
      <c r="F25" s="258">
        <f>100%</f>
        <v/>
      </c>
    </row>
    <row r="26" ht="16.2" customHeight="1" thickBot="1">
      <c r="B26" s="208" t="n"/>
      <c r="C26" s="208" t="n"/>
      <c r="D26" s="208" t="n"/>
      <c r="E26" s="208" t="n"/>
      <c r="F26" s="193" t="n"/>
      <c r="G26" s="184" t="n"/>
    </row>
    <row r="27" ht="17.4" customHeight="1">
      <c r="B27" s="612" t="inlineStr">
        <is>
          <t xml:space="preserve">  C. STANDARD VARIABLE COST PER SEAT (MONTHLY)</t>
        </is>
      </c>
      <c r="C27" s="594" t="n"/>
      <c r="D27" s="595" t="n"/>
    </row>
    <row r="28" ht="31.2" customHeight="1">
      <c r="B28" s="25" t="inlineStr">
        <is>
          <t>Variable Cost Component</t>
        </is>
      </c>
      <c r="C28" s="9" t="inlineStr">
        <is>
          <t>Per Seat (₹)</t>
        </is>
      </c>
      <c r="D28" s="26" t="inlineStr">
        <is>
          <t>Annual per Seat (₹)</t>
        </is>
      </c>
    </row>
    <row r="29" ht="15" customHeight="1">
      <c r="B29" s="61" t="inlineStr">
        <is>
          <t>Electricity (usage)</t>
        </is>
      </c>
      <c r="C29" s="110">
        <f>Assumptions!E43</f>
        <v/>
      </c>
      <c r="D29" s="267">
        <f>C29*12</f>
        <v/>
      </c>
    </row>
    <row r="30" ht="15" customHeight="1">
      <c r="B30" s="61" t="inlineStr">
        <is>
          <t>Pantry &amp; Beverages</t>
        </is>
      </c>
      <c r="C30" s="110">
        <f>Assumptions!E44</f>
        <v/>
      </c>
      <c r="D30" s="267">
        <f>C30*12</f>
        <v/>
      </c>
    </row>
    <row r="31" ht="15" customHeight="1">
      <c r="B31" s="61" t="inlineStr">
        <is>
          <t>Cleaning (incremental)</t>
        </is>
      </c>
      <c r="C31" s="110">
        <f>Assumptions!E45</f>
        <v/>
      </c>
      <c r="D31" s="267">
        <f>C31*12</f>
        <v/>
      </c>
    </row>
    <row r="32" ht="15" customHeight="1">
      <c r="B32" s="61" t="inlineStr">
        <is>
          <t>Internet (bandwidth)</t>
        </is>
      </c>
      <c r="C32" s="110">
        <f>Assumptions!E46</f>
        <v/>
      </c>
      <c r="D32" s="267">
        <f>C32*12</f>
        <v/>
      </c>
    </row>
    <row r="33" ht="15" customHeight="1">
      <c r="B33" s="61" t="inlineStr">
        <is>
          <t>Stationery &amp; Misc</t>
        </is>
      </c>
      <c r="C33" s="110">
        <f>Assumptions!E47</f>
        <v/>
      </c>
      <c r="D33" s="267">
        <f>C33*12</f>
        <v/>
      </c>
    </row>
    <row r="34" ht="16.2" customHeight="1" thickBot="1">
      <c r="B34" s="257" t="inlineStr">
        <is>
          <t>TOTAL VARIABLE COST / SEAT</t>
        </is>
      </c>
      <c r="C34" s="172">
        <f>'Cost sheet'!C43</f>
        <v/>
      </c>
      <c r="D34" s="268">
        <f>'Cost sheet'!C43*12</f>
        <v/>
      </c>
    </row>
    <row r="35" ht="16.2" customHeight="1" thickBot="1">
      <c r="B35" s="208" t="n"/>
      <c r="C35" s="208" t="n"/>
      <c r="D35" s="208" t="n"/>
      <c r="E35" s="208" t="n"/>
    </row>
    <row r="36" ht="17.4" customHeight="1">
      <c r="B36" s="612" t="inlineStr">
        <is>
          <t xml:space="preserve">  D. STANDARD COST CARD — PER SEAT PER MONTH</t>
        </is>
      </c>
      <c r="C36" s="594" t="n"/>
      <c r="D36" s="594" t="n"/>
      <c r="E36" s="595" t="n"/>
    </row>
    <row r="37" ht="31.2" customHeight="1">
      <c r="B37" s="25" t="inlineStr">
        <is>
          <t>Cost Element</t>
        </is>
      </c>
      <c r="C37" s="9" t="inlineStr">
        <is>
          <t>Per Seat / Month (₹)</t>
        </is>
      </c>
      <c r="D37" s="9" t="inlineStr">
        <is>
          <t>Per Seat / Year (₹)</t>
        </is>
      </c>
      <c r="E37" s="26" t="inlineStr">
        <is>
          <t>% of Total Cost</t>
        </is>
      </c>
    </row>
    <row r="38" ht="15" customHeight="1">
      <c r="B38" s="61" t="inlineStr">
        <is>
          <t>Variable Cost per Seat</t>
        </is>
      </c>
      <c r="C38" s="12">
        <f>'Cost sheet'!C43</f>
        <v/>
      </c>
      <c r="D38" s="12">
        <f>'Cost sheet'!C43*12</f>
        <v/>
      </c>
      <c r="E38" s="256">
        <f>IFERROR(C38/(C38+C39+C40+C41),0)</f>
        <v/>
      </c>
    </row>
    <row r="39" ht="15" customHeight="1">
      <c r="B39" s="61" t="inlineStr">
        <is>
          <t>Fixed Cost per Occupied Seat</t>
        </is>
      </c>
      <c r="C39" s="12">
        <f>IFERROR('Cost sheet'!C34/(Input!C10*Input!C13),0)</f>
        <v/>
      </c>
      <c r="D39" s="12">
        <f>IFERROR('Cost sheet'!C34/(Input!C10*Input!C13)*12,0)</f>
        <v/>
      </c>
      <c r="E39" s="256">
        <f>IFERROR(C39/(C38+C39+C40+C41),0)</f>
        <v/>
      </c>
    </row>
    <row r="40" ht="15" customHeight="1">
      <c r="B40" s="61" t="inlineStr">
        <is>
          <t>Depreciation per Occupied Seat (monthly)</t>
        </is>
      </c>
      <c r="C40" s="12">
        <f>IFERROR('Cost sheet'!C63/(Input!C10*Input!C13),0)</f>
        <v/>
      </c>
      <c r="D40" s="12">
        <f>IFERROR('Cost sheet'!C63/(Input!C10*Input!C13)*12,0)</f>
        <v/>
      </c>
      <c r="E40" s="256">
        <f>IFERROR(C40/(C38+C39+C40+C41),0)</f>
        <v/>
      </c>
    </row>
    <row r="41" ht="15" customHeight="1">
      <c r="B41" s="61" t="inlineStr">
        <is>
          <t>Interest per Occupied Seat (monthly)</t>
        </is>
      </c>
      <c r="C41" s="12">
        <f>IFERROR('Cost sheet'!C66/(Input!C10*Input!C13),0)</f>
        <v/>
      </c>
      <c r="D41" s="12">
        <f>IFERROR('Cost sheet'!C66/(Input!C10*Input!C13)*12,0)</f>
        <v/>
      </c>
      <c r="E41" s="256">
        <f>IFERROR(C41/(C38+C39+C40+C41),0)</f>
        <v/>
      </c>
    </row>
    <row r="42" ht="16.2" customHeight="1" thickBot="1">
      <c r="B42" s="259" t="inlineStr">
        <is>
          <t>TOTAL STANDARD COST PER SEAT</t>
        </is>
      </c>
      <c r="C42" s="260">
        <f>SUM(C38:C41)</f>
        <v/>
      </c>
      <c r="D42" s="260">
        <f>SUM(D38:D41)</f>
        <v/>
      </c>
      <c r="E42" s="261">
        <f>100%</f>
        <v/>
      </c>
    </row>
    <row r="43" ht="16.2" customHeight="1" thickBot="1">
      <c r="B43" s="208" t="n"/>
      <c r="C43" s="208" t="n"/>
      <c r="D43" s="208" t="n"/>
      <c r="E43" s="208" t="n"/>
    </row>
    <row r="44" ht="17.4" customHeight="1">
      <c r="B44" s="612" t="inlineStr">
        <is>
          <t xml:space="preserve">  E. REVENUE vs STANDARD COST — VARIANCE ANALYSIS</t>
        </is>
      </c>
      <c r="C44" s="594" t="n"/>
      <c r="D44" s="594" t="n"/>
      <c r="E44" s="595" t="n"/>
    </row>
    <row r="45" ht="15.6" customHeight="1">
      <c r="B45" s="25" t="inlineStr">
        <is>
          <t>KPI</t>
        </is>
      </c>
      <c r="C45" s="9" t="inlineStr">
        <is>
          <t>Value (₹)</t>
        </is>
      </c>
      <c r="D45" s="9" t="inlineStr">
        <is>
          <t>Unit</t>
        </is>
      </c>
      <c r="E45" s="26" t="inlineStr">
        <is>
          <t>Interpretation</t>
        </is>
      </c>
    </row>
    <row r="46" ht="15.6" customHeight="1">
      <c r="B46" s="61" t="inlineStr">
        <is>
          <t>Standard Revenue per Seat / month</t>
        </is>
      </c>
      <c r="C46" s="12">
        <f>Input!C14</f>
        <v/>
      </c>
      <c r="D46" s="181" t="inlineStr">
        <is>
          <t>₹/seat</t>
        </is>
      </c>
      <c r="E46" s="262" t="inlineStr">
        <is>
          <t>Selling price per hot desk</t>
        </is>
      </c>
    </row>
    <row r="47" ht="15.6" customHeight="1">
      <c r="B47" s="61" t="inlineStr">
        <is>
          <t>Standard Total Cost per Seat / month</t>
        </is>
      </c>
      <c r="C47" s="12">
        <f>C42</f>
        <v/>
      </c>
      <c r="D47" s="181" t="inlineStr">
        <is>
          <t>₹/seat</t>
        </is>
      </c>
      <c r="E47" s="262" t="inlineStr">
        <is>
          <t>From Cost Card above</t>
        </is>
      </c>
    </row>
    <row r="48" ht="15.6" customHeight="1">
      <c r="B48" s="61" t="inlineStr">
        <is>
          <t>Contribution per Seat / month</t>
        </is>
      </c>
      <c r="C48" s="12">
        <f>Input!C14-'Cost sheet'!C43</f>
        <v/>
      </c>
      <c r="D48" s="181" t="inlineStr">
        <is>
          <t>₹/seat</t>
        </is>
      </c>
      <c r="E48" s="262" t="inlineStr">
        <is>
          <t>Revenue - Variable Cost</t>
        </is>
      </c>
    </row>
    <row r="49" ht="15.6" customHeight="1">
      <c r="B49" s="61" t="inlineStr">
        <is>
          <t>Standard Margin per Seat / month  (Rev − Full Cost)</t>
        </is>
      </c>
      <c r="C49" s="12">
        <f>Input!C14-C42</f>
        <v/>
      </c>
      <c r="D49" s="181" t="inlineStr">
        <is>
          <t>₹/seat</t>
        </is>
      </c>
      <c r="E49" s="262" t="inlineStr">
        <is>
          <t>Positive = profitable at this price</t>
        </is>
      </c>
    </row>
    <row r="50" ht="15.6" customHeight="1">
      <c r="B50" s="61" t="inlineStr">
        <is>
          <t>Cost Recovery %  (Revenue / Full Cost per seat)</t>
        </is>
      </c>
      <c r="C50" s="254">
        <f>IFERROR(Input!C14/C42,0)</f>
        <v/>
      </c>
      <c r="D50" s="181" t="inlineStr">
        <is>
          <t>%</t>
        </is>
      </c>
      <c r="E50" s="262" t="inlineStr">
        <is>
          <t>&lt; 100% = price covers only X% of cost</t>
        </is>
      </c>
    </row>
    <row r="51" ht="15.6" customHeight="1">
      <c r="B51" s="61" t="inlineStr">
        <is>
          <t>Price-to-Variable-Cost Ratio</t>
        </is>
      </c>
      <c r="C51" s="242">
        <f>IFERROR(Input!C14/'Cost sheet'!C43,0)</f>
        <v/>
      </c>
      <c r="D51" s="181" t="inlineStr">
        <is>
          <t>x</t>
        </is>
      </c>
      <c r="E51" s="262" t="inlineStr">
        <is>
          <t>How many times price exceeds var cost</t>
        </is>
      </c>
    </row>
    <row r="52" ht="15.6" customHeight="1">
      <c r="B52" s="61" t="inlineStr">
        <is>
          <t>Required Price for Break-even (per seat)</t>
        </is>
      </c>
      <c r="C52" s="12">
        <f>IFERROR('Cost sheet'!C34/(Input!C10*Input!C13)+'Cost sheet'!C43,0)</f>
        <v/>
      </c>
      <c r="D52" s="181" t="inlineStr">
        <is>
          <t>₹/seat</t>
        </is>
      </c>
      <c r="E52" s="262" t="inlineStr">
        <is>
          <t>Price to cover all fixed + variable costs</t>
        </is>
      </c>
    </row>
    <row r="53" ht="16.2" customHeight="1" thickBot="1">
      <c r="B53" s="48" t="inlineStr">
        <is>
          <t>Price Deficit / Surplus vs Break-even</t>
        </is>
      </c>
      <c r="C53" s="263">
        <f>Input!C14-IFERROR('Cost sheet'!C34/(Input!C10*Input!C13)+'Cost sheet'!C43,0)</f>
        <v/>
      </c>
      <c r="D53" s="213" t="inlineStr">
        <is>
          <t>₹/seat</t>
        </is>
      </c>
      <c r="E53" s="264" t="inlineStr">
        <is>
          <t>Negative = price below break-even</t>
        </is>
      </c>
    </row>
  </sheetData>
  <mergeCells count="7">
    <mergeCell ref="B3:G3"/>
    <mergeCell ref="B2:G2"/>
    <mergeCell ref="B16:F16"/>
    <mergeCell ref="B44:E44"/>
    <mergeCell ref="B27:D27"/>
    <mergeCell ref="B5:E5"/>
    <mergeCell ref="B36:E36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>
  <sheetPr codeName="Sheet11">
    <outlinePr summaryBelow="1" summaryRight="1"/>
    <pageSetUpPr fitToPage="1"/>
  </sheetPr>
  <dimension ref="B1:H41"/>
  <sheetViews>
    <sheetView showGridLines="0" zoomScaleNormal="100" workbookViewId="0">
      <selection activeCell="B1" sqref="B1"/>
    </sheetView>
  </sheetViews>
  <sheetFormatPr baseColWidth="8" defaultColWidth="8.6640625" defaultRowHeight="14.4"/>
  <cols>
    <col width="3" customWidth="1" min="1" max="1"/>
    <col width="61.44140625" bestFit="1" customWidth="1" min="2" max="2"/>
    <col width="27.77734375" customWidth="1" min="3" max="3"/>
    <col width="21.33203125" customWidth="1" min="4" max="4"/>
    <col width="20.44140625" customWidth="1" min="5" max="6"/>
    <col width="21.88671875" customWidth="1" min="7" max="7"/>
    <col width="22.6640625" customWidth="1" min="8" max="8"/>
    <col width="17.33203125" customWidth="1" min="9" max="9"/>
  </cols>
  <sheetData>
    <row r="1" ht="21.6" customHeight="1" thickBot="1">
      <c r="B1" s="384" t="inlineStr">
        <is>
          <t>Navigation Tab</t>
        </is>
      </c>
    </row>
    <row r="2" ht="21" customHeight="1">
      <c r="B2" s="610" t="inlineStr">
        <is>
          <t>FLEXIBLE BUDGET — 40% / 60% / 80% OCCUPANCY</t>
        </is>
      </c>
      <c r="C2" s="597" t="n"/>
      <c r="D2" s="597" t="n"/>
      <c r="E2" s="597" t="n"/>
      <c r="F2" s="597" t="n"/>
      <c r="G2" s="597" t="n"/>
      <c r="H2" s="598" t="n"/>
    </row>
    <row r="3" ht="16.2" customHeight="1" thickBot="1">
      <c r="B3" s="630" t="inlineStr">
        <is>
          <t>Full P&amp;L rebuilt for 3 occupancy levels. Fixed costs stay constant; variable costs scale with seats.</t>
        </is>
      </c>
      <c r="C3" s="600" t="n"/>
      <c r="D3" s="600" t="n"/>
      <c r="E3" s="600" t="n"/>
      <c r="F3" s="600" t="n"/>
      <c r="G3" s="600" t="n"/>
      <c r="H3" s="601" t="n"/>
    </row>
    <row r="4" ht="15" customHeight="1" thickBot="1"/>
    <row r="5" ht="17.4" customHeight="1">
      <c r="B5" s="516" t="inlineStr">
        <is>
          <t xml:space="preserve">  FLEXIBLE BUDGET STATEMENT (MONTHLY)</t>
        </is>
      </c>
      <c r="C5" s="594" t="n"/>
      <c r="D5" s="594" t="n"/>
      <c r="E5" s="594" t="n"/>
      <c r="F5" s="594" t="n"/>
      <c r="G5" s="594" t="n"/>
      <c r="H5" s="603" t="n"/>
    </row>
    <row r="6" ht="16.8" customHeight="1">
      <c r="B6" s="278" t="inlineStr">
        <is>
          <t>Budget Line Item</t>
        </is>
      </c>
      <c r="C6" s="271" t="inlineStr">
        <is>
          <t>40% Occupancy</t>
        </is>
      </c>
      <c r="D6" s="272" t="inlineStr">
        <is>
          <t>60% Occupancy</t>
        </is>
      </c>
      <c r="E6" s="273" t="inlineStr">
        <is>
          <t>80% Occupancy</t>
        </is>
      </c>
      <c r="F6" s="274" t="inlineStr">
        <is>
          <t>Active Scenario</t>
        </is>
      </c>
      <c r="G6" s="275" t="inlineStr">
        <is>
          <t>Var: 40% vs 60%</t>
        </is>
      </c>
      <c r="H6" s="279" t="inlineStr">
        <is>
          <t>Var: 60% vs 80%</t>
        </is>
      </c>
    </row>
    <row r="7" ht="17.4" customHeight="1">
      <c r="B7" s="542" t="inlineStr">
        <is>
          <t xml:space="preserve">  REVENUE</t>
        </is>
      </c>
      <c r="C7" s="585" t="n"/>
      <c r="D7" s="585" t="n"/>
      <c r="E7" s="585" t="n"/>
      <c r="F7" s="585" t="n"/>
      <c r="G7" s="585" t="n"/>
      <c r="H7" s="586" t="n"/>
    </row>
    <row r="8" ht="15" customHeight="1">
      <c r="B8" s="61" t="inlineStr">
        <is>
          <t>Hot Desk Revenue</t>
        </is>
      </c>
      <c r="C8" s="276">
        <f>ROUND(Input!C10*0.4*0.45,0)*Input!C14</f>
        <v/>
      </c>
      <c r="D8" s="276">
        <f>ROUND(Input!C10*0.6*0.45,0)*Input!C14</f>
        <v/>
      </c>
      <c r="E8" s="276">
        <f>ROUND(Input!C10*0.8*0.45,0)*Input!C14</f>
        <v/>
      </c>
      <c r="F8" s="110">
        <f>IF(Input!C13=0.4,C8,IF(Input!C13=0.6,D8,E8))</f>
        <v/>
      </c>
      <c r="G8" s="12">
        <f>D8-C8</f>
        <v/>
      </c>
      <c r="H8" s="62">
        <f>E8-D8</f>
        <v/>
      </c>
    </row>
    <row r="9" ht="15" customHeight="1">
      <c r="B9" s="61" t="inlineStr">
        <is>
          <t>Dedicated Desk Revenue</t>
        </is>
      </c>
      <c r="C9" s="276">
        <f>ROUND(Input!C10*0.4*0.3,0)*Input!C14*1.15</f>
        <v/>
      </c>
      <c r="D9" s="276">
        <f>ROUND(Input!C10*0.6*0.3,0)*Input!C14*1.15</f>
        <v/>
      </c>
      <c r="E9" s="276">
        <f>ROUND(Input!C10*0.8*0.3,0)*Input!C14*1.15</f>
        <v/>
      </c>
      <c r="F9" s="110">
        <f>IF(Input!C13=0.4,C9,IF(Input!C13=0.6,D9,E9))</f>
        <v/>
      </c>
      <c r="G9" s="12">
        <f>D9-C9</f>
        <v/>
      </c>
      <c r="H9" s="62">
        <f>E9-D9</f>
        <v/>
      </c>
    </row>
    <row r="10" ht="15" customHeight="1">
      <c r="B10" s="61" t="inlineStr">
        <is>
          <t>Private Cabin Revenue</t>
        </is>
      </c>
      <c r="C10" s="276">
        <f>ROUND(Input!C10*0.4*0.2,0)*Input!C14*1.4</f>
        <v/>
      </c>
      <c r="D10" s="276">
        <f>ROUND(Input!C10*0.6*0.2,0)*Input!C14*1.4</f>
        <v/>
      </c>
      <c r="E10" s="276">
        <f>ROUND(Input!C10*0.8*0.2,0)*Input!C14*1.4</f>
        <v/>
      </c>
      <c r="F10" s="110">
        <f>IF(Input!C13=0.4,C10,IF(Input!C13=0.6,D10,E10))</f>
        <v/>
      </c>
      <c r="G10" s="12">
        <f>D10-C10</f>
        <v/>
      </c>
      <c r="H10" s="62">
        <f>E10-D10</f>
        <v/>
      </c>
    </row>
    <row r="11" ht="15" customHeight="1">
      <c r="B11" s="61" t="inlineStr">
        <is>
          <t>Other Revenue (Mtg Rooms + VO + Events + Workation)</t>
        </is>
      </c>
      <c r="C11" s="276">
        <f>Revenue!F17+Revenue!F18+Revenue!F19+Revenue!F20</f>
        <v/>
      </c>
      <c r="D11" s="276">
        <f>Revenue!F17+Revenue!F18+Revenue!F19+Revenue!F20</f>
        <v/>
      </c>
      <c r="E11" s="276">
        <f>Revenue!F17+Revenue!F18+Revenue!F19+Revenue!F20</f>
        <v/>
      </c>
      <c r="F11" s="110">
        <f>IF(Input!C13=0.4,C11,IF(Input!C13=0.6,D11,E11))</f>
        <v/>
      </c>
      <c r="G11" s="12">
        <f>0</f>
        <v/>
      </c>
      <c r="H11" s="62">
        <f>0</f>
        <v/>
      </c>
    </row>
    <row r="12" ht="16.2" customHeight="1" thickBot="1">
      <c r="B12" s="257" t="inlineStr">
        <is>
          <t>TOTAL REVENUE</t>
        </is>
      </c>
      <c r="C12" s="172">
        <f>SUM(C8:C11)</f>
        <v/>
      </c>
      <c r="D12" s="172">
        <f>SUM(D8:D11)</f>
        <v/>
      </c>
      <c r="E12" s="172">
        <f>SUM(E8:E11)</f>
        <v/>
      </c>
      <c r="F12" s="172">
        <f>SUM(F8:F11)</f>
        <v/>
      </c>
      <c r="G12" s="280">
        <f>SUM(G8:G11)</f>
        <v/>
      </c>
      <c r="H12" s="281">
        <f>SUM(H8:H11)</f>
        <v/>
      </c>
    </row>
    <row r="13" ht="15" customHeight="1" thickBot="1">
      <c r="B13" s="282" t="n"/>
      <c r="C13" s="282" t="n"/>
      <c r="D13" s="282" t="n"/>
      <c r="E13" s="282" t="n"/>
      <c r="F13" s="282" t="n"/>
      <c r="G13" s="282" t="n"/>
      <c r="H13" s="282" t="n"/>
    </row>
    <row r="14" ht="17.4" customHeight="1">
      <c r="B14" s="539" t="inlineStr">
        <is>
          <t xml:space="preserve">  VARIABLE COSTS (scale with occupancy)</t>
        </is>
      </c>
      <c r="C14" s="594" t="n"/>
      <c r="D14" s="594" t="n"/>
      <c r="E14" s="594" t="n"/>
      <c r="F14" s="594" t="n"/>
      <c r="G14" s="594" t="n"/>
      <c r="H14" s="603" t="n"/>
    </row>
    <row r="15" ht="15" customHeight="1">
      <c r="B15" s="61" t="inlineStr">
        <is>
          <t>Total Variable Cost (₹900 × occupied seats)</t>
        </is>
      </c>
      <c r="C15" s="223">
        <f>'Cost sheet'!C43*ROUND(Input!C10*0.4,0)</f>
        <v/>
      </c>
      <c r="D15" s="223">
        <f>'Cost sheet'!C43*ROUND(Input!C10*0.6,0)</f>
        <v/>
      </c>
      <c r="E15" s="223">
        <f>'Cost sheet'!C43*ROUND(Input!C10*0.8,0)</f>
        <v/>
      </c>
      <c r="F15" s="223">
        <f>IF(Input!C13=0.4,C15,IF(Input!C13=0.6,D15,E15))</f>
        <v/>
      </c>
      <c r="G15" s="12">
        <f>D15-C15</f>
        <v/>
      </c>
      <c r="H15" s="62">
        <f>E15-D15</f>
        <v/>
      </c>
    </row>
    <row r="16" ht="15.6" customHeight="1">
      <c r="B16" s="283" t="inlineStr">
        <is>
          <t>CONTRIBUTION MARGIN  (Revenue − Variable Cost)</t>
        </is>
      </c>
      <c r="C16" s="185">
        <f>C12-C15</f>
        <v/>
      </c>
      <c r="D16" s="185">
        <f>D12-D15</f>
        <v/>
      </c>
      <c r="E16" s="185">
        <f>E12-E15</f>
        <v/>
      </c>
      <c r="F16" s="277">
        <f>IF(Input!C13=0.4,C16,IF(Input!C13=0.6,D16,E16))</f>
        <v/>
      </c>
      <c r="G16" s="12">
        <f>D16-C16</f>
        <v/>
      </c>
      <c r="H16" s="62">
        <f>E16-D16</f>
        <v/>
      </c>
    </row>
    <row r="17" ht="16.2" customHeight="1" thickBot="1">
      <c r="B17" s="284" t="inlineStr">
        <is>
          <t>Contribution Margin %</t>
        </is>
      </c>
      <c r="C17" s="285">
        <f>IFERROR(C16/C12,0)</f>
        <v/>
      </c>
      <c r="D17" s="285">
        <f>IFERROR(D16/D12,0)</f>
        <v/>
      </c>
      <c r="E17" s="285">
        <f>IFERROR(E16/E12,0)</f>
        <v/>
      </c>
      <c r="F17" s="286">
        <f>IF(Input!C13=0.4,C17,IF(Input!C13=0.6,D17,E17))</f>
        <v/>
      </c>
      <c r="G17" s="286">
        <f>D17-C17</f>
        <v/>
      </c>
      <c r="H17" s="287">
        <f>E17-D17</f>
        <v/>
      </c>
    </row>
    <row r="18" ht="15" customHeight="1" thickBot="1">
      <c r="B18" s="282" t="n"/>
      <c r="C18" s="282" t="n"/>
      <c r="D18" s="282" t="n"/>
      <c r="E18" s="282" t="n"/>
      <c r="F18" s="282" t="n"/>
      <c r="G18" s="282" t="n"/>
      <c r="H18" s="282" t="n"/>
    </row>
    <row r="19" ht="17.4" customHeight="1">
      <c r="B19" s="539" t="inlineStr">
        <is>
          <t xml:space="preserve">  FIXED COSTS (constant regardless of occupancy)</t>
        </is>
      </c>
      <c r="C19" s="594" t="n"/>
      <c r="D19" s="594" t="n"/>
      <c r="E19" s="594" t="n"/>
      <c r="F19" s="594" t="n"/>
      <c r="G19" s="594" t="n"/>
      <c r="H19" s="603" t="n"/>
    </row>
    <row r="20" ht="15" customHeight="1">
      <c r="B20" s="61" t="inlineStr">
        <is>
          <t>Rent / Loan EMI</t>
        </is>
      </c>
      <c r="C20" s="228">
        <f>'Cost sheet'!C20</f>
        <v/>
      </c>
      <c r="D20" s="228">
        <f>'Cost sheet'!C20</f>
        <v/>
      </c>
      <c r="E20" s="228">
        <f>'Cost sheet'!C20</f>
        <v/>
      </c>
      <c r="F20" s="228">
        <f>IF(Input!C13=0.4,C20,IF(Input!C13=0.6,D20,E20))</f>
        <v/>
      </c>
      <c r="G20" s="12">
        <f>0</f>
        <v/>
      </c>
      <c r="H20" s="62">
        <f>0</f>
        <v/>
      </c>
    </row>
    <row r="21" ht="15" customHeight="1">
      <c r="B21" s="61" t="inlineStr">
        <is>
          <t>Salaries (all staff)</t>
        </is>
      </c>
      <c r="C21" s="228">
        <f>'Cost sheet'!C21+'Cost sheet'!C22+'Cost sheet'!C23+'Cost sheet'!C24+'Cost sheet'!C25+'Cost sheet'!C26</f>
        <v/>
      </c>
      <c r="D21" s="228">
        <f>'Cost sheet'!C21+'Cost sheet'!C22+'Cost sheet'!C23+'Cost sheet'!C24+'Cost sheet'!C25+'Cost sheet'!C26</f>
        <v/>
      </c>
      <c r="E21" s="228">
        <f>'Cost sheet'!C21+'Cost sheet'!C22+'Cost sheet'!C23+'Cost sheet'!C24+'Cost sheet'!C25+'Cost sheet'!C26</f>
        <v/>
      </c>
      <c r="F21" s="228">
        <f>IF(Input!C13=0.4,C21,IF(Input!C13=0.6,D21,E21))</f>
        <v/>
      </c>
      <c r="G21" s="12">
        <f>0</f>
        <v/>
      </c>
      <c r="H21" s="62">
        <f>0</f>
        <v/>
      </c>
    </row>
    <row r="22" ht="15" customHeight="1">
      <c r="B22" s="61" t="inlineStr">
        <is>
          <t>Internet</t>
        </is>
      </c>
      <c r="C22" s="228">
        <f>'Cost sheet'!C27</f>
        <v/>
      </c>
      <c r="D22" s="228">
        <f>'Cost sheet'!C27</f>
        <v/>
      </c>
      <c r="E22" s="228">
        <f>'Cost sheet'!C27</f>
        <v/>
      </c>
      <c r="F22" s="228">
        <f>IF(Input!C13=0.4,C22,IF(Input!C13=0.6,D22,E22))</f>
        <v/>
      </c>
      <c r="G22" s="12">
        <f>0</f>
        <v/>
      </c>
      <c r="H22" s="62">
        <f>0</f>
        <v/>
      </c>
    </row>
    <row r="23" ht="15" customHeight="1">
      <c r="B23" s="61" t="inlineStr">
        <is>
          <t>Electricity (base)</t>
        </is>
      </c>
      <c r="C23" s="228">
        <f>'Cost sheet'!C28</f>
        <v/>
      </c>
      <c r="D23" s="228">
        <f>'Cost sheet'!C28</f>
        <v/>
      </c>
      <c r="E23" s="228">
        <f>'Cost sheet'!C28</f>
        <v/>
      </c>
      <c r="F23" s="228">
        <f>IF(Input!C13=0.4,C23,IF(Input!C13=0.6,D23,E23))</f>
        <v/>
      </c>
      <c r="G23" s="12">
        <f>0</f>
        <v/>
      </c>
      <c r="H23" s="62">
        <f>0</f>
        <v/>
      </c>
    </row>
    <row r="24" ht="15" customHeight="1">
      <c r="B24" s="61" t="inlineStr">
        <is>
          <t>Maintenance</t>
        </is>
      </c>
      <c r="C24" s="228">
        <f>'Cost sheet'!C29</f>
        <v/>
      </c>
      <c r="D24" s="228">
        <f>'Cost sheet'!C29</f>
        <v/>
      </c>
      <c r="E24" s="228">
        <f>'Cost sheet'!C29</f>
        <v/>
      </c>
      <c r="F24" s="228">
        <f>IF(Input!C13=0.4,C24,IF(Input!C13=0.6,D24,E24))</f>
        <v/>
      </c>
      <c r="G24" s="12">
        <f>0</f>
        <v/>
      </c>
      <c r="H24" s="62">
        <f>0</f>
        <v/>
      </c>
    </row>
    <row r="25" ht="15" customHeight="1">
      <c r="B25" s="61" t="inlineStr">
        <is>
          <t>Marketing</t>
        </is>
      </c>
      <c r="C25" s="228">
        <f>'Cost sheet'!C30</f>
        <v/>
      </c>
      <c r="D25" s="228">
        <f>'Cost sheet'!C30</f>
        <v/>
      </c>
      <c r="E25" s="228">
        <f>'Cost sheet'!C30</f>
        <v/>
      </c>
      <c r="F25" s="228">
        <f>IF(Input!C13=0.4,C25,IF(Input!C13=0.6,D25,E25))</f>
        <v/>
      </c>
      <c r="G25" s="12">
        <f>0</f>
        <v/>
      </c>
      <c r="H25" s="62">
        <f>0</f>
        <v/>
      </c>
    </row>
    <row r="26" ht="15" customHeight="1">
      <c r="B26" s="61" t="inlineStr">
        <is>
          <t>Admin, Insurance &amp; Misc</t>
        </is>
      </c>
      <c r="C26" s="228">
        <f>'Cost sheet'!C31+'Cost sheet'!C32+'Cost sheet'!C33</f>
        <v/>
      </c>
      <c r="D26" s="228">
        <f>'Cost sheet'!C31+'Cost sheet'!C32+'Cost sheet'!C33</f>
        <v/>
      </c>
      <c r="E26" s="228">
        <f>'Cost sheet'!C31+'Cost sheet'!C32+'Cost sheet'!C33</f>
        <v/>
      </c>
      <c r="F26" s="228">
        <f>IF(Input!C13=0.4,C26,IF(Input!C13=0.6,D26,E26))</f>
        <v/>
      </c>
      <c r="G26" s="12">
        <f>0</f>
        <v/>
      </c>
      <c r="H26" s="62">
        <f>0</f>
        <v/>
      </c>
    </row>
    <row r="27" ht="16.2" customHeight="1" thickBot="1">
      <c r="B27" s="288" t="inlineStr">
        <is>
          <t>TOTAL FIXED COSTS</t>
        </is>
      </c>
      <c r="C27" s="232">
        <f>SUM(C20:C26)</f>
        <v/>
      </c>
      <c r="D27" s="232">
        <f>SUM(D20:D26)</f>
        <v/>
      </c>
      <c r="E27" s="232">
        <f>SUM(E20:E26)</f>
        <v/>
      </c>
      <c r="F27" s="232">
        <f>SUM(F20:F26)</f>
        <v/>
      </c>
      <c r="G27" s="280">
        <f>0</f>
        <v/>
      </c>
      <c r="H27" s="281">
        <f>0</f>
        <v/>
      </c>
    </row>
    <row r="28" ht="15" customHeight="1" thickBot="1">
      <c r="B28" s="282" t="n"/>
      <c r="C28" s="282" t="n"/>
      <c r="D28" s="282" t="n"/>
      <c r="E28" s="282" t="n"/>
      <c r="F28" s="282" t="n"/>
      <c r="G28" s="282" t="n"/>
      <c r="H28" s="282" t="n"/>
    </row>
    <row r="29" ht="17.4" customHeight="1">
      <c r="B29" s="539" t="inlineStr">
        <is>
          <t xml:space="preserve">  PROFIT SUMMARY</t>
        </is>
      </c>
      <c r="C29" s="594" t="n"/>
      <c r="D29" s="594" t="n"/>
      <c r="E29" s="594" t="n"/>
      <c r="F29" s="594" t="n"/>
      <c r="G29" s="594" t="n"/>
      <c r="H29" s="603" t="n"/>
    </row>
    <row r="30" ht="15.6" customHeight="1">
      <c r="B30" s="289" t="inlineStr">
        <is>
          <t>EBITDA  (Contribution − Fixed Costs)</t>
        </is>
      </c>
      <c r="C30" s="190">
        <f>C16-C27</f>
        <v/>
      </c>
      <c r="D30" s="190">
        <f>D16-D27</f>
        <v/>
      </c>
      <c r="E30" s="190">
        <f>E16-E27</f>
        <v/>
      </c>
      <c r="F30" s="223">
        <f>IF(Input!C13=0.4,C30,IF(Input!C13=0.6,D30,E30))</f>
        <v/>
      </c>
      <c r="G30" s="12">
        <f>D30-C30</f>
        <v/>
      </c>
      <c r="H30" s="62">
        <f>E30-D30</f>
        <v/>
      </c>
    </row>
    <row r="31" ht="15" customHeight="1">
      <c r="B31" s="61" t="inlineStr">
        <is>
          <t xml:space="preserve">    Less: Depreciation (fixed)</t>
        </is>
      </c>
      <c r="C31" s="228">
        <f>'Cost sheet'!C63</f>
        <v/>
      </c>
      <c r="D31" s="228">
        <f>'Cost sheet'!C63</f>
        <v/>
      </c>
      <c r="E31" s="228">
        <f>'Cost sheet'!C63</f>
        <v/>
      </c>
      <c r="F31" s="228">
        <f>IF(Input!C13=0.4,C31,IF(Input!C13=0.6,D31,E31))</f>
        <v/>
      </c>
      <c r="G31" s="12">
        <f>0</f>
        <v/>
      </c>
      <c r="H31" s="62">
        <f>0</f>
        <v/>
      </c>
    </row>
    <row r="32" ht="15.6" customHeight="1">
      <c r="B32" s="289" t="inlineStr">
        <is>
          <t>EBIT  (EBITDA − Depreciation)</t>
        </is>
      </c>
      <c r="C32" s="190">
        <f>C30-C31</f>
        <v/>
      </c>
      <c r="D32" s="190">
        <f>D30-D31</f>
        <v/>
      </c>
      <c r="E32" s="190">
        <f>E30-E31</f>
        <v/>
      </c>
      <c r="F32" s="223">
        <f>IF(Input!C13=0.4,C32,IF(Input!C13=0.6,D32,E32))</f>
        <v/>
      </c>
      <c r="G32" s="12">
        <f>D32-C32</f>
        <v/>
      </c>
      <c r="H32" s="62">
        <f>E32-D32</f>
        <v/>
      </c>
    </row>
    <row r="33" ht="15" customHeight="1">
      <c r="B33" s="61" t="inlineStr">
        <is>
          <t xml:space="preserve">    Less: Interest (fixed for given loan)</t>
        </is>
      </c>
      <c r="C33" s="228">
        <f>'Cost sheet'!C66</f>
        <v/>
      </c>
      <c r="D33" s="228">
        <f>'Cost sheet'!C66</f>
        <v/>
      </c>
      <c r="E33" s="228">
        <f>'Cost sheet'!C66</f>
        <v/>
      </c>
      <c r="F33" s="228">
        <f>IF(Input!C13=0.4,C33,IF(Input!C13=0.6,D33,E33))</f>
        <v/>
      </c>
      <c r="G33" s="12">
        <f>0</f>
        <v/>
      </c>
      <c r="H33" s="62">
        <f>0</f>
        <v/>
      </c>
    </row>
    <row r="34" ht="15.6" customHeight="1">
      <c r="B34" s="289" t="inlineStr">
        <is>
          <t>PBT  (EBIT − Interest)</t>
        </is>
      </c>
      <c r="C34" s="190">
        <f>C32-C33</f>
        <v/>
      </c>
      <c r="D34" s="190">
        <f>D32-D33</f>
        <v/>
      </c>
      <c r="E34" s="190">
        <f>E32-E33</f>
        <v/>
      </c>
      <c r="F34" s="223">
        <f>IF(Input!C13=0.4,C34,IF(Input!C13=0.6,D34,E34))</f>
        <v/>
      </c>
      <c r="G34" s="12">
        <f>D34-C34</f>
        <v/>
      </c>
      <c r="H34" s="62">
        <f>E34-D34</f>
        <v/>
      </c>
    </row>
    <row r="35" ht="15" customHeight="1">
      <c r="B35" s="61" t="inlineStr">
        <is>
          <t xml:space="preserve">    Tax (25% on positive PBT only)</t>
        </is>
      </c>
      <c r="C35" s="12">
        <f>MAX(0,C34*Input!C21)</f>
        <v/>
      </c>
      <c r="D35" s="12">
        <f>MAX(0,D34*Input!C21)</f>
        <v/>
      </c>
      <c r="E35" s="12">
        <f>MAX(0,E34*Input!C21)</f>
        <v/>
      </c>
      <c r="F35" s="12">
        <f>IF(Input!C13=0.4,C35,IF(Input!C13=0.6,D35,E35))</f>
        <v/>
      </c>
      <c r="G35" s="12">
        <f>D35-C35</f>
        <v/>
      </c>
      <c r="H35" s="62">
        <f>E35-D35</f>
        <v/>
      </c>
    </row>
    <row r="36" ht="15.6" customHeight="1">
      <c r="B36" s="283" t="inlineStr">
        <is>
          <t>PAT — NET PROFIT / (LOSS)</t>
        </is>
      </c>
      <c r="C36" s="185">
        <f>C34-C35</f>
        <v/>
      </c>
      <c r="D36" s="185">
        <f>D34-D35</f>
        <v/>
      </c>
      <c r="E36" s="185">
        <f>E34-E35</f>
        <v/>
      </c>
      <c r="F36" s="277">
        <f>IF(Input!C13=0.4,C36,IF(Input!C13=0.6,D36,E36))</f>
        <v/>
      </c>
      <c r="G36" s="12">
        <f>D36-C36</f>
        <v/>
      </c>
      <c r="H36" s="62">
        <f>E36-D36</f>
        <v/>
      </c>
    </row>
    <row r="37" ht="16.2" customHeight="1" thickBot="1">
      <c r="B37" s="284" t="inlineStr">
        <is>
          <t>Net Margin %</t>
        </is>
      </c>
      <c r="C37" s="285">
        <f>IFERROR(C36/C12,0)</f>
        <v/>
      </c>
      <c r="D37" s="285">
        <f>IFERROR(D36/D12,0)</f>
        <v/>
      </c>
      <c r="E37" s="285">
        <f>IFERROR(E36/E12,0)</f>
        <v/>
      </c>
      <c r="F37" s="286">
        <f>IF(Input!C13=0.4,C37,IF(Input!C13=0.6,D37,E37))</f>
        <v/>
      </c>
      <c r="G37" s="286">
        <f>D37-C37</f>
        <v/>
      </c>
      <c r="H37" s="287">
        <f>E37-D37</f>
        <v/>
      </c>
    </row>
    <row r="38" ht="15" customHeight="1" thickBot="1">
      <c r="B38" s="282" t="n"/>
      <c r="C38" s="282" t="n"/>
      <c r="D38" s="222" t="n"/>
      <c r="E38" s="222" t="n"/>
      <c r="F38" s="222" t="n"/>
      <c r="G38" s="222" t="n"/>
      <c r="H38" s="222" t="n"/>
    </row>
    <row r="39" ht="17.4" customHeight="1">
      <c r="B39" s="290" t="inlineStr">
        <is>
          <t xml:space="preserve">  RECONCILIATION WITH P&amp;L (Active Scenario)</t>
        </is>
      </c>
      <c r="C39" s="291" t="n"/>
    </row>
    <row r="40" ht="15" customHeight="1">
      <c r="B40" s="61" t="inlineStr">
        <is>
          <t>FlexBudget Revenue ties to P&amp;L Net Revenue (at active occ)</t>
        </is>
      </c>
      <c r="C40" s="216">
        <f>IF(ABS(F12-'P&amp;L'!C10/12)&lt;5000,"✓ Match (monthly vs annual/12)","⚠ Review — different methodology")</f>
        <v/>
      </c>
    </row>
    <row r="41" ht="15.6" customHeight="1" thickBot="1">
      <c r="B41" s="48" t="inlineStr">
        <is>
          <t>FlexBudget Fixed Costs tie to Costs!D34</t>
        </is>
      </c>
      <c r="C41" s="217">
        <f>IF(ABS(C27-'Cost sheet'!C34)&lt;1,"✓ Match","⚠ Mismatch")</f>
        <v/>
      </c>
    </row>
  </sheetData>
  <mergeCells count="7">
    <mergeCell ref="B14:H14"/>
    <mergeCell ref="B19:H19"/>
    <mergeCell ref="B2:H2"/>
    <mergeCell ref="B29:H29"/>
    <mergeCell ref="B7:H7"/>
    <mergeCell ref="B3:H3"/>
    <mergeCell ref="B5:H5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>
  <sheetPr codeName="Sheet12">
    <outlinePr summaryBelow="1" summaryRight="1"/>
    <pageSetUpPr fitToPage="1"/>
  </sheetPr>
  <dimension ref="B1:F79"/>
  <sheetViews>
    <sheetView showGridLines="0" zoomScale="85" zoomScaleNormal="85" workbookViewId="0">
      <selection activeCell="B1" sqref="B1"/>
    </sheetView>
  </sheetViews>
  <sheetFormatPr baseColWidth="8" defaultColWidth="8.6640625" defaultRowHeight="14.4"/>
  <cols>
    <col width="3" customWidth="1" min="1" max="1"/>
    <col width="52" bestFit="1" customWidth="1" min="2" max="2"/>
    <col width="23.5546875" bestFit="1" customWidth="1" min="3" max="3"/>
    <col width="15.5546875" bestFit="1" customWidth="1" min="4" max="4"/>
    <col width="46.44140625" bestFit="1" customWidth="1" min="5" max="5"/>
    <col width="46.33203125" bestFit="1" customWidth="1" min="6" max="6"/>
  </cols>
  <sheetData>
    <row r="1" ht="21.6" customHeight="1" thickBot="1">
      <c r="B1" s="384" t="inlineStr">
        <is>
          <t>Navigation Tab</t>
        </is>
      </c>
    </row>
    <row r="2" ht="21" customHeight="1">
      <c r="B2" s="610" t="inlineStr">
        <is>
          <t>BREAK-EVEN ANALYSIS — SEATS, REVENUE &amp; OCCUPANCY</t>
        </is>
      </c>
      <c r="C2" s="597" t="n"/>
      <c r="D2" s="597" t="n"/>
      <c r="E2" s="597" t="n"/>
      <c r="F2" s="598" t="n"/>
    </row>
    <row r="3" ht="16.2" customHeight="1" thickBot="1">
      <c r="B3" s="630" t="inlineStr">
        <is>
          <t>BEP = Fixed Cost ÷ (Price − Variable Cost per seat). All linked to Input &amp; Costs sheets.</t>
        </is>
      </c>
      <c r="C3" s="600" t="n"/>
      <c r="D3" s="600" t="n"/>
      <c r="E3" s="600" t="n"/>
      <c r="F3" s="601" t="n"/>
    </row>
    <row r="4" ht="15" customHeight="1" thickBot="1"/>
    <row r="5" ht="17.4" customHeight="1">
      <c r="B5" s="612" t="inlineStr">
        <is>
          <t xml:space="preserve">  A. BREAK-EVEN INPUTS (FROM MODEL)</t>
        </is>
      </c>
      <c r="C5" s="594" t="n"/>
      <c r="D5" s="595" t="n"/>
    </row>
    <row r="6" ht="15.6" customHeight="1">
      <c r="B6" s="25" t="inlineStr">
        <is>
          <t>Input Variable</t>
        </is>
      </c>
      <c r="C6" s="9" t="inlineStr">
        <is>
          <t>Value</t>
        </is>
      </c>
      <c r="D6" s="26" t="inlineStr">
        <is>
          <t>Unit</t>
        </is>
      </c>
    </row>
    <row r="7" ht="15" customHeight="1">
      <c r="B7" s="61" t="inlineStr">
        <is>
          <t>Total Installed Seats</t>
        </is>
      </c>
      <c r="C7" s="252">
        <f>Input!C10</f>
        <v/>
      </c>
      <c r="D7" s="105" t="inlineStr">
        <is>
          <t>seats</t>
        </is>
      </c>
    </row>
    <row r="8" ht="15" customHeight="1">
      <c r="B8" s="61" t="inlineStr">
        <is>
          <t>Current Occupancy Rate</t>
        </is>
      </c>
      <c r="C8" s="253">
        <f>Input!C13</f>
        <v/>
      </c>
      <c r="D8" s="105" t="inlineStr">
        <is>
          <t>%</t>
        </is>
      </c>
    </row>
    <row r="9" ht="15" customHeight="1">
      <c r="B9" s="61" t="inlineStr">
        <is>
          <t>Selling Price per Seat (Hot Desk)</t>
        </is>
      </c>
      <c r="C9" s="110">
        <f>Input!C14</f>
        <v/>
      </c>
      <c r="D9" s="105" t="inlineStr">
        <is>
          <t>₹/seat</t>
        </is>
      </c>
    </row>
    <row r="10" ht="15" customHeight="1">
      <c r="B10" s="61" t="inlineStr">
        <is>
          <t>Variable Cost per Seat</t>
        </is>
      </c>
      <c r="C10" s="110">
        <f>'Cost sheet'!C43</f>
        <v/>
      </c>
      <c r="D10" s="105" t="inlineStr">
        <is>
          <t>₹/seat</t>
        </is>
      </c>
    </row>
    <row r="11" ht="15" customHeight="1">
      <c r="B11" s="61" t="inlineStr">
        <is>
          <t>Total Fixed Monthly Cost</t>
        </is>
      </c>
      <c r="C11" s="110">
        <f>'Cost sheet'!C34</f>
        <v/>
      </c>
      <c r="D11" s="105" t="inlineStr">
        <is>
          <t>₹/month</t>
        </is>
      </c>
    </row>
    <row r="12" ht="15" customHeight="1">
      <c r="B12" s="61" t="inlineStr">
        <is>
          <t>Total CAPEX</t>
        </is>
      </c>
      <c r="C12" s="110">
        <f>'Cost sheet'!C15</f>
        <v/>
      </c>
      <c r="D12" s="105" t="inlineStr">
        <is>
          <t>₹</t>
        </is>
      </c>
    </row>
    <row r="13" ht="15" customHeight="1">
      <c r="B13" s="61" t="inlineStr">
        <is>
          <t>Annual Depreciation (Yr 1)</t>
        </is>
      </c>
      <c r="C13" s="110">
        <f>'Cost sheet'!C63*12</f>
        <v/>
      </c>
      <c r="D13" s="105" t="inlineStr">
        <is>
          <t>₹/yr</t>
        </is>
      </c>
    </row>
    <row r="14" ht="15" customHeight="1">
      <c r="B14" s="61" t="inlineStr">
        <is>
          <t>Annual Interest (Yr 1)</t>
        </is>
      </c>
      <c r="C14" s="110">
        <f>'Cost sheet'!C66*12</f>
        <v/>
      </c>
      <c r="D14" s="105" t="inlineStr">
        <is>
          <t>₹/yr</t>
        </is>
      </c>
    </row>
    <row r="15" ht="15" customHeight="1">
      <c r="B15" s="61" t="inlineStr">
        <is>
          <t>Tax Rate</t>
        </is>
      </c>
      <c r="C15" s="253">
        <f>Input!C21</f>
        <v/>
      </c>
      <c r="D15" s="105" t="inlineStr">
        <is>
          <t>%</t>
        </is>
      </c>
    </row>
    <row r="16" ht="15.6" customHeight="1" thickBot="1">
      <c r="B16" s="48" t="inlineStr">
        <is>
          <t>WACC</t>
        </is>
      </c>
      <c r="C16" s="309">
        <f>Input!C20</f>
        <v/>
      </c>
      <c r="D16" s="51" t="inlineStr">
        <is>
          <t>%</t>
        </is>
      </c>
    </row>
    <row r="17" ht="15" customHeight="1" thickBot="1">
      <c r="B17" s="282" t="n"/>
      <c r="C17" s="282" t="n"/>
      <c r="D17" s="282" t="n"/>
      <c r="E17" s="282" t="n"/>
      <c r="F17" s="3" t="n"/>
    </row>
    <row r="18" ht="17.4" customHeight="1">
      <c r="B18" s="612" t="inlineStr">
        <is>
          <t xml:space="preserve">  B. CONTRIBUTION ANALYSIS</t>
        </is>
      </c>
      <c r="C18" s="594" t="n"/>
      <c r="D18" s="594" t="n"/>
      <c r="E18" s="595" t="n"/>
    </row>
    <row r="19" ht="15.6" customHeight="1">
      <c r="B19" s="25" t="inlineStr">
        <is>
          <t>Item</t>
        </is>
      </c>
      <c r="C19" s="9" t="inlineStr">
        <is>
          <t>Value</t>
        </is>
      </c>
      <c r="D19" s="9" t="inlineStr">
        <is>
          <t>Unit</t>
        </is>
      </c>
      <c r="E19" s="26" t="inlineStr">
        <is>
          <t>Notes</t>
        </is>
      </c>
      <c r="F19" s="21" t="n"/>
    </row>
    <row r="20" ht="15.6" customHeight="1">
      <c r="B20" s="61" t="inlineStr">
        <is>
          <t>Selling Price per Seat</t>
        </is>
      </c>
      <c r="C20" s="12">
        <f>Input!C14</f>
        <v/>
      </c>
      <c r="D20" s="181" t="inlineStr">
        <is>
          <t>₹/seat</t>
        </is>
      </c>
      <c r="E20" s="262" t="inlineStr">
        <is>
          <t>Hot desk price</t>
        </is>
      </c>
      <c r="F20" s="21" t="n"/>
    </row>
    <row r="21" ht="15.6" customHeight="1">
      <c r="B21" s="61" t="inlineStr">
        <is>
          <t>Variable Cost per Seat</t>
        </is>
      </c>
      <c r="C21" s="12">
        <f>'Cost sheet'!C43</f>
        <v/>
      </c>
      <c r="D21" s="181" t="inlineStr">
        <is>
          <t>₹/seat</t>
        </is>
      </c>
      <c r="E21" s="262" t="inlineStr">
        <is>
          <t>Per occupied seat per month</t>
        </is>
      </c>
      <c r="F21" s="21" t="n"/>
    </row>
    <row r="22" ht="15.6" customHeight="1">
      <c r="B22" s="61" t="inlineStr">
        <is>
          <t>Contribution per Seat</t>
        </is>
      </c>
      <c r="C22" s="277">
        <f>Input!C14-'Cost sheet'!C43</f>
        <v/>
      </c>
      <c r="D22" s="181" t="inlineStr">
        <is>
          <t>₹/seat</t>
        </is>
      </c>
      <c r="E22" s="262" t="inlineStr">
        <is>
          <t>Price - Variable Cost</t>
        </is>
      </c>
      <c r="F22" s="21" t="n"/>
    </row>
    <row r="23" ht="16.2" customHeight="1" thickBot="1">
      <c r="B23" s="48" t="inlineStr">
        <is>
          <t>Contribution Margin Ratio (P/V)</t>
        </is>
      </c>
      <c r="C23" s="308">
        <f>IFERROR((Input!C14-'Cost sheet'!C43)/Input!C14,0)</f>
        <v/>
      </c>
      <c r="D23" s="213" t="inlineStr">
        <is>
          <t>%</t>
        </is>
      </c>
      <c r="E23" s="264" t="inlineStr">
        <is>
          <t>Contribution ÷ Price</t>
        </is>
      </c>
      <c r="F23" s="21" t="n"/>
    </row>
    <row r="24" ht="15" customHeight="1" thickBot="1">
      <c r="B24" s="282" t="n"/>
      <c r="C24" s="282" t="n"/>
      <c r="D24" s="282" t="n"/>
      <c r="E24" s="282" t="n"/>
      <c r="F24" s="296" t="n"/>
    </row>
    <row r="25" ht="17.4" customHeight="1">
      <c r="B25" s="613" t="inlineStr">
        <is>
          <t xml:space="preserve">  C. BREAK-EVEN POINT CALCULATIONS</t>
        </is>
      </c>
      <c r="C25" s="597" t="n"/>
      <c r="D25" s="597" t="n"/>
      <c r="E25" s="597" t="n"/>
      <c r="F25" s="598" t="n"/>
    </row>
    <row r="26" ht="15.6" customHeight="1">
      <c r="B26" s="351" t="inlineStr">
        <is>
          <t>BEP Metric</t>
        </is>
      </c>
      <c r="C26" s="350" t="inlineStr">
        <is>
          <t>Value</t>
        </is>
      </c>
      <c r="D26" s="350" t="inlineStr">
        <is>
          <t>Unit</t>
        </is>
      </c>
      <c r="E26" s="350" t="inlineStr">
        <is>
          <t>Interpretation</t>
        </is>
      </c>
      <c r="F26" s="352" t="inlineStr">
        <is>
          <t>Notes</t>
        </is>
      </c>
    </row>
    <row r="27" ht="15.6" customHeight="1">
      <c r="B27" s="365" t="inlineStr">
        <is>
          <t>BEP Seats (monthly)</t>
        </is>
      </c>
      <c r="C27" s="358">
        <f>IFERROR(CEILING('Cost sheet'!C34/(Input!C14-'Cost sheet'!C43),1),0)</f>
        <v/>
      </c>
      <c r="D27" s="359" t="inlineStr">
        <is>
          <t>seats/month</t>
        </is>
      </c>
      <c r="E27" s="547" t="inlineStr">
        <is>
          <t>Min seats to cover all fixed costs</t>
        </is>
      </c>
      <c r="F27" s="366" t="inlineStr">
        <is>
          <t>Fixed Cost ÷ Contribution per seat</t>
        </is>
      </c>
    </row>
    <row r="28" ht="15.6" customHeight="1">
      <c r="B28" s="365" t="inlineStr">
        <is>
          <t>BEP Occupancy %</t>
        </is>
      </c>
      <c r="C28" s="361">
        <f>IFERROR(CEILING('Cost sheet'!C34/(Input!C14-'Cost sheet'!C43),1)/Input!C10,0)</f>
        <v/>
      </c>
      <c r="D28" s="359" t="inlineStr">
        <is>
          <t>%</t>
        </is>
      </c>
      <c r="E28" s="547" t="inlineStr">
        <is>
          <t>&gt;100% means unachievable at current price</t>
        </is>
      </c>
      <c r="F28" s="366" t="inlineStr">
        <is>
          <t>BEP Seats ÷ Total Seats</t>
        </is>
      </c>
    </row>
    <row r="29" ht="15.6" customHeight="1">
      <c r="B29" s="365" t="inlineStr">
        <is>
          <t>BEP Monthly Revenue</t>
        </is>
      </c>
      <c r="C29" s="362">
        <f>IFERROR(CEILING('Cost sheet'!C34/(Input!C14-'Cost sheet'!C43),1)*Input!C14,0)</f>
        <v/>
      </c>
      <c r="D29" s="359" t="inlineStr">
        <is>
          <t>₹/month</t>
        </is>
      </c>
      <c r="E29" s="547" t="inlineStr">
        <is>
          <t>Monthly revenue needed to break even</t>
        </is>
      </c>
      <c r="F29" s="366" t="inlineStr">
        <is>
          <t>BEP Seats × Price per seat</t>
        </is>
      </c>
    </row>
    <row r="30" ht="15.6" customHeight="1">
      <c r="B30" s="81" t="inlineStr">
        <is>
          <t>BEP Annual Revenue</t>
        </is>
      </c>
      <c r="C30" s="362">
        <f>IFERROR(CEILING('Cost sheet'!C34/(Input!C14-'Cost sheet'!C43),1)*Input!C14*12,0)</f>
        <v/>
      </c>
      <c r="D30" s="359" t="inlineStr">
        <is>
          <t>₹/year</t>
        </is>
      </c>
      <c r="E30" s="547" t="inlineStr">
        <is>
          <t>Annual revenue target for break-even</t>
        </is>
      </c>
      <c r="F30" s="366" t="inlineStr">
        <is>
          <t>BEP Monthly Revenue × 12</t>
        </is>
      </c>
    </row>
    <row r="31" ht="15.6" customHeight="1">
      <c r="B31" s="81" t="inlineStr">
        <is>
          <t>BEP Revenue (P/V Ratio method)</t>
        </is>
      </c>
      <c r="C31" s="362">
        <f>IFERROR('Cost sheet'!C34/((Input!C14-'Cost sheet'!C43)/Input!C14),0)</f>
        <v/>
      </c>
      <c r="D31" s="359" t="inlineStr">
        <is>
          <t>₹/month</t>
        </is>
      </c>
      <c r="E31" s="547" t="inlineStr">
        <is>
          <t>Cross-check using P/V ratio</t>
        </is>
      </c>
      <c r="F31" s="366" t="inlineStr">
        <is>
          <t>Fixed Cost ÷ P/V Ratio</t>
        </is>
      </c>
    </row>
    <row r="32" ht="15.6" customHeight="1">
      <c r="B32" s="81" t="inlineStr">
        <is>
          <t>Margin of Safety (seats)</t>
        </is>
      </c>
      <c r="C32" s="363">
        <f>Input!C10*Input!C13-IFERROR(CEILING('Cost sheet'!C34/(Input!C14-'Cost sheet'!C43),1),0)</f>
        <v/>
      </c>
      <c r="D32" s="359" t="inlineStr">
        <is>
          <t>seats</t>
        </is>
      </c>
      <c r="E32" s="547" t="inlineStr">
        <is>
          <t>Seats above break-even (buffer)</t>
        </is>
      </c>
      <c r="F32" s="366" t="inlineStr">
        <is>
          <t>Actual Occupied Seats − BEP Seats</t>
        </is>
      </c>
    </row>
    <row r="33" ht="15.6" customHeight="1">
      <c r="B33" s="365" t="inlineStr">
        <is>
          <t>Margin of Safety %</t>
        </is>
      </c>
      <c r="C33" s="361">
        <f>IFERROR((Input!C10*Input!C13-CEILING('Cost sheet'!C34/(Input!C14-'Cost sheet'!C43),1))/(Input!C10*Input!C13),0)</f>
        <v/>
      </c>
      <c r="D33" s="359" t="inlineStr">
        <is>
          <t>%</t>
        </is>
      </c>
      <c r="E33" s="547" t="inlineStr">
        <is>
          <t>Negative = currently below BEP</t>
        </is>
      </c>
      <c r="F33" s="366" t="inlineStr">
        <is>
          <t>MoS Seats ÷ Actual Occupied Seats</t>
        </is>
      </c>
    </row>
    <row r="34" ht="15.6" customHeight="1">
      <c r="B34" s="365" t="inlineStr">
        <is>
          <t>Margin of Safety (Revenue)</t>
        </is>
      </c>
      <c r="C34" s="364">
        <f>Revenue!F21-IFERROR(CEILING('Cost sheet'!C34/(Input!C14-'Cost sheet'!C43),1)*Input!C14,0)</f>
        <v/>
      </c>
      <c r="D34" s="359" t="inlineStr">
        <is>
          <t>₹/month</t>
        </is>
      </c>
      <c r="E34" s="547" t="inlineStr">
        <is>
          <t>Revenue cushion above BEP</t>
        </is>
      </c>
      <c r="F34" s="366" t="inlineStr">
        <is>
          <t>Actual Revenue − BEP Revenue</t>
        </is>
      </c>
    </row>
    <row r="35" ht="15.6" customHeight="1">
      <c r="B35" s="81" t="inlineStr">
        <is>
          <t>Current Actual Seats (occupied)</t>
        </is>
      </c>
      <c r="C35" s="358">
        <f>Input!C10*Input!C13</f>
        <v/>
      </c>
      <c r="D35" s="359" t="inlineStr">
        <is>
          <t>seats</t>
        </is>
      </c>
      <c r="E35" s="547" t="inlineStr">
        <is>
          <t>At current Input!C13 setting</t>
        </is>
      </c>
      <c r="F35" s="366" t="inlineStr">
        <is>
          <t>Input Seats × Occupancy Rate</t>
        </is>
      </c>
    </row>
    <row r="36" ht="16.2" customHeight="1" thickBot="1">
      <c r="B36" s="84" t="inlineStr">
        <is>
          <t>Actual Revenue above/below BEP</t>
        </is>
      </c>
      <c r="C36" s="367">
        <f>Revenue!F21-IFERROR(CEILING('Cost sheet'!C34/(Input!C14-'Cost sheet'!C43),1)*Input!C14,0)</f>
        <v/>
      </c>
      <c r="D36" s="368" t="inlineStr">
        <is>
          <t>₹/month</t>
        </is>
      </c>
      <c r="E36" s="549" t="inlineStr">
        <is>
          <t>Negative = revenue shortfall from BEP</t>
        </is>
      </c>
      <c r="F36" s="369" t="inlineStr">
        <is>
          <t>Actual Revenue − BEP Monthly Revenue</t>
        </is>
      </c>
    </row>
    <row r="37" ht="15" customHeight="1" thickBot="1">
      <c r="B37" s="282" t="n"/>
      <c r="C37" s="282" t="n"/>
      <c r="D37" s="282" t="n"/>
      <c r="E37" s="282" t="n"/>
      <c r="F37" s="282" t="n"/>
    </row>
    <row r="38" ht="17.4" customHeight="1">
      <c r="B38" s="539" t="inlineStr">
        <is>
          <t xml:space="preserve">  D. BEP SENSITIVITY — OCCUPANCY % REQUIRED AT DIFFERENT PRICES</t>
        </is>
      </c>
      <c r="C38" s="594" t="n"/>
      <c r="D38" s="594" t="n"/>
      <c r="E38" s="594" t="n"/>
      <c r="F38" s="603" t="n"/>
    </row>
    <row r="39" ht="46.8" customHeight="1">
      <c r="B39" s="25" t="inlineStr">
        <is>
          <t>Price per Seat (₹/month)</t>
        </is>
      </c>
      <c r="C39" s="9" t="inlineStr">
        <is>
          <t>BEP Seats</t>
        </is>
      </c>
      <c r="D39" s="9" t="inlineStr">
        <is>
          <t>BEP Occupancy %</t>
        </is>
      </c>
      <c r="E39" s="9" t="inlineStr">
        <is>
          <t>BEP Monthly Revenue (₹)</t>
        </is>
      </c>
      <c r="F39" s="26" t="inlineStr">
        <is>
          <t>Feasibility</t>
        </is>
      </c>
    </row>
    <row r="40" ht="15" customHeight="1">
      <c r="B40" s="304" t="n">
        <v>5000</v>
      </c>
      <c r="C40" s="293">
        <f>IFERROR(CEILING('Cost sheet'!C34/(B40-'Cost sheet'!C43),1),"N/A")</f>
        <v/>
      </c>
      <c r="D40" s="192">
        <f>IFERROR(CEILING('Cost sheet'!C34/(B40-'Cost sheet'!C43),1)/Input!C10,"N/A")</f>
        <v/>
      </c>
      <c r="E40" s="92">
        <f>IFERROR(CEILING('Cost sheet'!C34/(B40-'Cost sheet'!C43),1)*B40,"N/A")</f>
        <v/>
      </c>
      <c r="F40" s="105">
        <f>IFERROR(IF(CEILING('Cost sheet'!C34/(B40-'Cost sheet'!C43),1)&lt;=Input!C10,"✓ Feasible","✗ &gt;100% seats needed"),"✗ Below var cost")</f>
        <v/>
      </c>
    </row>
    <row r="41" ht="15" customHeight="1">
      <c r="B41" s="304" t="n">
        <v>6000</v>
      </c>
      <c r="C41" s="293">
        <f>IFERROR(CEILING('Cost sheet'!C34/(B41-'Cost sheet'!C43),1),"N/A")</f>
        <v/>
      </c>
      <c r="D41" s="192">
        <f>IFERROR(CEILING('Cost sheet'!C34/(B41-'Cost sheet'!C43),1)/Input!C10,"N/A")</f>
        <v/>
      </c>
      <c r="E41" s="92">
        <f>IFERROR(CEILING('Cost sheet'!C34/(B41-'Cost sheet'!C43),1)*B41,"N/A")</f>
        <v/>
      </c>
      <c r="F41" s="105">
        <f>IFERROR(IF(CEILING('Cost sheet'!C34/(B41-'Cost sheet'!C43),1)&lt;=Input!C10,"✓ Feasible","✗ &gt;100% seats needed"),"✗ Below var cost")</f>
        <v/>
      </c>
    </row>
    <row r="42" ht="15" customHeight="1">
      <c r="B42" s="305" t="n">
        <v>7500</v>
      </c>
      <c r="C42" s="295">
        <f>IFERROR(CEILING('Cost sheet'!C34/(B42-'Cost sheet'!C43),1),"N/A")</f>
        <v/>
      </c>
      <c r="D42" s="294">
        <f>IFERROR(CEILING('Cost sheet'!C34/(B42-'Cost sheet'!C43),1)/Input!C10,"N/A")</f>
        <v/>
      </c>
      <c r="E42" s="223">
        <f>IFERROR(CEILING('Cost sheet'!C34/(B42-'Cost sheet'!C43),1)*B42,"N/A")</f>
        <v/>
      </c>
      <c r="F42" s="249">
        <f>IFERROR(IF(CEILING('Cost sheet'!C34/(B42-'Cost sheet'!C43),1)&lt;=Input!C10,"✓ Feasible","✗ &gt;100% seats needed"),"✗ Below var cost")</f>
        <v/>
      </c>
    </row>
    <row r="43" ht="15" customHeight="1">
      <c r="B43" s="304" t="n">
        <v>9000</v>
      </c>
      <c r="C43" s="293">
        <f>IFERROR(CEILING('Cost sheet'!C34/(B43-'Cost sheet'!C43),1),"N/A")</f>
        <v/>
      </c>
      <c r="D43" s="192">
        <f>IFERROR(CEILING('Cost sheet'!C34/(B43-'Cost sheet'!C43),1)/Input!C10,"N/A")</f>
        <v/>
      </c>
      <c r="E43" s="92">
        <f>IFERROR(CEILING('Cost sheet'!C34/(B43-'Cost sheet'!C43),1)*B43,"N/A")</f>
        <v/>
      </c>
      <c r="F43" s="105">
        <f>IFERROR(IF(CEILING('Cost sheet'!C34/(B43-'Cost sheet'!C43),1)&lt;=Input!C10,"✓ Feasible","✗ &gt;100% seats needed"),"✗ Below var cost")</f>
        <v/>
      </c>
    </row>
    <row r="44" ht="15" customHeight="1">
      <c r="B44" s="304" t="n">
        <v>10000</v>
      </c>
      <c r="C44" s="293">
        <f>IFERROR(CEILING('Cost sheet'!C34/(B44-'Cost sheet'!C43),1),"N/A")</f>
        <v/>
      </c>
      <c r="D44" s="192">
        <f>IFERROR(CEILING('Cost sheet'!C34/(B44-'Cost sheet'!C43),1)/Input!C10,"N/A")</f>
        <v/>
      </c>
      <c r="E44" s="92">
        <f>IFERROR(CEILING('Cost sheet'!C34/(B44-'Cost sheet'!C43),1)*B44,"N/A")</f>
        <v/>
      </c>
      <c r="F44" s="105">
        <f>IFERROR(IF(CEILING('Cost sheet'!C34/(B44-'Cost sheet'!C43),1)&lt;=Input!C10,"✓ Feasible","✗ &gt;100% seats needed"),"✗ Below var cost")</f>
        <v/>
      </c>
    </row>
    <row r="45" ht="15" customHeight="1">
      <c r="B45" s="304" t="n">
        <v>12000</v>
      </c>
      <c r="C45" s="293">
        <f>IFERROR(CEILING('Cost sheet'!C34/(B45-'Cost sheet'!C43),1),"N/A")</f>
        <v/>
      </c>
      <c r="D45" s="192">
        <f>IFERROR(CEILING('Cost sheet'!C34/(B45-'Cost sheet'!C43),1)/Input!C10,"N/A")</f>
        <v/>
      </c>
      <c r="E45" s="92">
        <f>IFERROR(CEILING('Cost sheet'!C34/(B45-'Cost sheet'!C43),1)*B45,"N/A")</f>
        <v/>
      </c>
      <c r="F45" s="105">
        <f>IFERROR(IF(CEILING('Cost sheet'!C34/(B45-'Cost sheet'!C43),1)&lt;=Input!C10,"✓ Feasible","✗ &gt;100% seats needed"),"✗ Below var cost")</f>
        <v/>
      </c>
    </row>
    <row r="46" ht="15" customHeight="1">
      <c r="B46" s="304" t="n">
        <v>15000</v>
      </c>
      <c r="C46" s="293">
        <f>IFERROR(CEILING('Cost sheet'!C34/(B46-'Cost sheet'!C43),1),"N/A")</f>
        <v/>
      </c>
      <c r="D46" s="192">
        <f>IFERROR(CEILING('Cost sheet'!C34/(B46-'Cost sheet'!C43),1)/Input!C10,"N/A")</f>
        <v/>
      </c>
      <c r="E46" s="92">
        <f>IFERROR(CEILING('Cost sheet'!C34/(B46-'Cost sheet'!C43),1)*B46,"N/A")</f>
        <v/>
      </c>
      <c r="F46" s="105">
        <f>IFERROR(IF(CEILING('Cost sheet'!C34/(B46-'Cost sheet'!C43),1)&lt;=Input!C10,"✓ Feasible","✗ &gt;100% seats needed"),"✗ Below var cost")</f>
        <v/>
      </c>
    </row>
    <row r="47" ht="15" customHeight="1">
      <c r="B47" s="304" t="n">
        <v>18000</v>
      </c>
      <c r="C47" s="293">
        <f>IFERROR(CEILING('Cost sheet'!C34/(B47-'Cost sheet'!C43),1),"N/A")</f>
        <v/>
      </c>
      <c r="D47" s="192">
        <f>IFERROR(CEILING('Cost sheet'!C34/(B47-'Cost sheet'!C43),1)/Input!C10,"N/A")</f>
        <v/>
      </c>
      <c r="E47" s="92">
        <f>IFERROR(CEILING('Cost sheet'!C34/(B47-'Cost sheet'!C43),1)*B47,"N/A")</f>
        <v/>
      </c>
      <c r="F47" s="105">
        <f>IFERROR(IF(CEILING('Cost sheet'!C34/(B47-'Cost sheet'!C43),1)&lt;=Input!C10,"✓ Feasible","✗ &gt;100% seats needed"),"✗ Below var cost")</f>
        <v/>
      </c>
    </row>
    <row r="48" ht="15" customHeight="1">
      <c r="B48" s="304" t="n">
        <v>20000</v>
      </c>
      <c r="C48" s="293">
        <f>IFERROR(CEILING('Cost sheet'!C34/(B48-'Cost sheet'!C43),1),"N/A")</f>
        <v/>
      </c>
      <c r="D48" s="192">
        <f>IFERROR(CEILING('Cost sheet'!C34/(B48-'Cost sheet'!C43),1)/Input!C10,"N/A")</f>
        <v/>
      </c>
      <c r="E48" s="92">
        <f>IFERROR(CEILING('Cost sheet'!C34/(B48-'Cost sheet'!C43),1)*B48,"N/A")</f>
        <v/>
      </c>
      <c r="F48" s="105">
        <f>IFERROR(IF(CEILING('Cost sheet'!C34/(B48-'Cost sheet'!C43),1)&lt;=Input!C10,"✓ Feasible","✗ &gt;100% seats needed"),"✗ Below var cost")</f>
        <v/>
      </c>
    </row>
    <row r="49" ht="15.6" customHeight="1" thickBot="1">
      <c r="B49" s="306" t="n">
        <v>25000</v>
      </c>
      <c r="C49" s="302">
        <f>IFERROR(CEILING('Cost sheet'!C34/(B49-'Cost sheet'!C43),1),"N/A")</f>
        <v/>
      </c>
      <c r="D49" s="214">
        <f>IFERROR(CEILING('Cost sheet'!C34/(B49-'Cost sheet'!C43),1)/Input!C10,"N/A")</f>
        <v/>
      </c>
      <c r="E49" s="106">
        <f>IFERROR(CEILING('Cost sheet'!C34/(B49-'Cost sheet'!C43),1)*B49,"N/A")</f>
        <v/>
      </c>
      <c r="F49" s="51">
        <f>IFERROR(IF(CEILING('Cost sheet'!C34/(B49-'Cost sheet'!C43),1)&lt;=Input!C10,"✓ Feasible","✗ &gt;100% seats needed"),"✗ Below var cost")</f>
        <v/>
      </c>
    </row>
    <row r="50" ht="15" customHeight="1" thickBot="1">
      <c r="B50" s="282" t="n"/>
      <c r="C50" s="282" t="n"/>
      <c r="D50" s="282" t="n"/>
      <c r="E50" s="282" t="n"/>
      <c r="F50" s="282" t="n"/>
    </row>
    <row r="51" ht="17.4" customHeight="1">
      <c r="B51" s="539" t="inlineStr">
        <is>
          <t xml:space="preserve">  E. BEP SENSITIVITY — PROFIT AT DIFFERENT OCCUPANCY LEVELS</t>
        </is>
      </c>
      <c r="C51" s="594" t="n"/>
      <c r="D51" s="594" t="n"/>
      <c r="E51" s="594" t="n"/>
      <c r="F51" s="603" t="n"/>
    </row>
    <row r="52" ht="31.2" customHeight="1">
      <c r="B52" s="25" t="inlineStr">
        <is>
          <t>Occupancy Level</t>
        </is>
      </c>
      <c r="C52" s="9" t="inlineStr">
        <is>
          <t>Occupied Seats</t>
        </is>
      </c>
      <c r="D52" s="9" t="inlineStr">
        <is>
          <t>Monthly Revenue (₹)</t>
        </is>
      </c>
      <c r="E52" s="9" t="inlineStr">
        <is>
          <t>Monthly Profit / (Loss) (₹)</t>
        </is>
      </c>
      <c r="F52" s="26" t="inlineStr">
        <is>
          <t>Margin %</t>
        </is>
      </c>
    </row>
    <row r="53" ht="15" customHeight="1">
      <c r="B53" s="297" t="n">
        <v>0.2</v>
      </c>
      <c r="C53" s="293">
        <f>ROUND(Input!C10*B53,0)</f>
        <v/>
      </c>
      <c r="D53" s="92">
        <f>ROUND(C53*0.45,0)*Input!C14+ROUND(C53*0.3,0)*Input!C14*1.15+ROUND(C53*0.2,0)*Input!C14*1.4+Revenue!F17+Revenue!F18+Revenue!F19+Revenue!F20</f>
        <v/>
      </c>
      <c r="E53" s="92">
        <f>D53-'Cost sheet'!C34-'Cost sheet'!C43*C53</f>
        <v/>
      </c>
      <c r="F53" s="298">
        <f>IFERROR(E53/D53,0)</f>
        <v/>
      </c>
    </row>
    <row r="54" ht="15" customHeight="1">
      <c r="B54" s="297" t="n">
        <v>0.3</v>
      </c>
      <c r="C54" s="293">
        <f>ROUND(Input!C10*B54,0)</f>
        <v/>
      </c>
      <c r="D54" s="92">
        <f>ROUND(C54*0.45,0)*Input!C14+ROUND(C54*0.3,0)*Input!C14*1.15+ROUND(C54*0.2,0)*Input!C14*1.4+Revenue!F17+Revenue!F18+Revenue!F19+Revenue!F20</f>
        <v/>
      </c>
      <c r="E54" s="92">
        <f>D54-'Cost sheet'!C34-'Cost sheet'!C43*C54</f>
        <v/>
      </c>
      <c r="F54" s="298">
        <f>IFERROR(E54/D54,0)</f>
        <v/>
      </c>
    </row>
    <row r="55" ht="15" customHeight="1">
      <c r="B55" s="297" t="n">
        <v>0.4</v>
      </c>
      <c r="C55" s="293">
        <f>ROUND(Input!C10*B55,0)</f>
        <v/>
      </c>
      <c r="D55" s="92">
        <f>ROUND(C55*0.45,0)*Input!C14+ROUND(C55*0.3,0)*Input!C14*1.15+ROUND(C55*0.2,0)*Input!C14*1.4+Revenue!F17+Revenue!F18+Revenue!F19+Revenue!F20</f>
        <v/>
      </c>
      <c r="E55" s="92">
        <f>D55-'Cost sheet'!C34-'Cost sheet'!C43*C55</f>
        <v/>
      </c>
      <c r="F55" s="298">
        <f>IFERROR(E55/D55,0)</f>
        <v/>
      </c>
    </row>
    <row r="56" ht="15" customHeight="1">
      <c r="B56" s="297" t="n">
        <v>0.5</v>
      </c>
      <c r="C56" s="293">
        <f>ROUND(Input!C10*B56,0)</f>
        <v/>
      </c>
      <c r="D56" s="92">
        <f>ROUND(C56*0.45,0)*Input!C14+ROUND(C56*0.3,0)*Input!C14*1.15+ROUND(C56*0.2,0)*Input!C14*1.4+Revenue!F17+Revenue!F18+Revenue!F19+Revenue!F20</f>
        <v/>
      </c>
      <c r="E56" s="92">
        <f>D56-'Cost sheet'!C34-'Cost sheet'!C43*C56</f>
        <v/>
      </c>
      <c r="F56" s="298">
        <f>IFERROR(E56/D56,0)</f>
        <v/>
      </c>
    </row>
    <row r="57" ht="15" customHeight="1">
      <c r="B57" s="297" t="n">
        <v>0.6</v>
      </c>
      <c r="C57" s="293">
        <f>ROUND(Input!C10*B57,0)</f>
        <v/>
      </c>
      <c r="D57" s="92">
        <f>ROUND(C57*0.45,0)*Input!C14+ROUND(C57*0.3,0)*Input!C14*1.15+ROUND(C57*0.2,0)*Input!C14*1.4+Revenue!F17+Revenue!F18+Revenue!F19+Revenue!F20</f>
        <v/>
      </c>
      <c r="E57" s="92">
        <f>D57-'Cost sheet'!C34-'Cost sheet'!C43*C57</f>
        <v/>
      </c>
      <c r="F57" s="298">
        <f>IFERROR(E57/D57,0)</f>
        <v/>
      </c>
    </row>
    <row r="58" ht="15" customHeight="1">
      <c r="B58" s="297" t="n">
        <v>0.7</v>
      </c>
      <c r="C58" s="293">
        <f>ROUND(Input!C10*B58,0)</f>
        <v/>
      </c>
      <c r="D58" s="92">
        <f>ROUND(C58*0.45,0)*Input!C14+ROUND(C58*0.3,0)*Input!C14*1.15+ROUND(C58*0.2,0)*Input!C14*1.4+Revenue!F17+Revenue!F18+Revenue!F19+Revenue!F20</f>
        <v/>
      </c>
      <c r="E58" s="92">
        <f>D58-'Cost sheet'!C34-'Cost sheet'!C43*C58</f>
        <v/>
      </c>
      <c r="F58" s="298">
        <f>IFERROR(E58/D58,0)</f>
        <v/>
      </c>
    </row>
    <row r="59" ht="15.6" customHeight="1">
      <c r="B59" s="299" t="n">
        <v>0.8</v>
      </c>
      <c r="C59" s="295">
        <f>ROUND(Input!C10*B59,0)</f>
        <v/>
      </c>
      <c r="D59" s="223">
        <f>ROUND(C59*0.45,0)*Input!C14+ROUND(C59*0.3,0)*Input!C14*1.15+ROUND(C59*0.2,0)*Input!C14*1.4+Revenue!F17+Revenue!F18+Revenue!F19+Revenue!F20</f>
        <v/>
      </c>
      <c r="E59" s="223">
        <f>D59-'Cost sheet'!C34-'Cost sheet'!C43*C59</f>
        <v/>
      </c>
      <c r="F59" s="300">
        <f>IFERROR(E59/D59,0)</f>
        <v/>
      </c>
    </row>
    <row r="60" ht="15" customHeight="1">
      <c r="B60" s="297" t="n">
        <v>0.9</v>
      </c>
      <c r="C60" s="293">
        <f>ROUND(Input!C10*B60,0)</f>
        <v/>
      </c>
      <c r="D60" s="92">
        <f>ROUND(C60*0.45,0)*Input!C14+ROUND(C60*0.3,0)*Input!C14*1.15+ROUND(C60*0.2,0)*Input!C14*1.4+Revenue!F17+Revenue!F18+Revenue!F19+Revenue!F20</f>
        <v/>
      </c>
      <c r="E60" s="92">
        <f>D60-'Cost sheet'!C34-'Cost sheet'!C43*C60</f>
        <v/>
      </c>
      <c r="F60" s="298">
        <f>IFERROR(E60/D60,0)</f>
        <v/>
      </c>
    </row>
    <row r="61" ht="15.6" customHeight="1" thickBot="1">
      <c r="B61" s="301" t="n">
        <v>1</v>
      </c>
      <c r="C61" s="302">
        <f>ROUND(Input!C10*B61,0)</f>
        <v/>
      </c>
      <c r="D61" s="106">
        <f>ROUND(C61*0.45,0)*Input!C14+ROUND(C61*0.3,0)*Input!C14*1.15+ROUND(C61*0.2,0)*Input!C14*1.4+Revenue!F17+Revenue!F18+Revenue!F19+Revenue!F20</f>
        <v/>
      </c>
      <c r="E61" s="106">
        <f>D61-'Cost sheet'!C34-'Cost sheet'!C43*C61</f>
        <v/>
      </c>
      <c r="F61" s="303">
        <f>IFERROR(E61/D61,0)</f>
        <v/>
      </c>
    </row>
    <row r="62" ht="15" customHeight="1" thickBot="1">
      <c r="B62" s="282" t="n"/>
      <c r="C62" s="282" t="n"/>
      <c r="D62" s="222" t="n"/>
      <c r="E62" s="222" t="n"/>
      <c r="F62" s="222" t="n"/>
    </row>
    <row r="63" ht="17.4" customHeight="1">
      <c r="B63" s="290" t="inlineStr">
        <is>
          <t xml:space="preserve">  F. BREAK-EVEN INTEGRITY CHECKS</t>
        </is>
      </c>
      <c r="C63" s="291" t="n"/>
    </row>
    <row r="64" ht="15" customHeight="1">
      <c r="B64" s="61" t="inlineStr">
        <is>
          <t>BEP Occ (Section C) ties to Occupancy sheet BEP</t>
        </is>
      </c>
      <c r="C64" s="216">
        <f>IF(ABS(C28-Occupancy!C51)&lt;0.01,"✓ Match","⚠ Check methodology")</f>
        <v/>
      </c>
    </row>
    <row r="65" ht="15" customHeight="1">
      <c r="B65" s="61" t="inlineStr">
        <is>
          <t>P/V method BEP Revenue = FC/P/V ratio</t>
        </is>
      </c>
      <c r="C65" s="216">
        <f>IF(ABS(C31-'Cost sheet'!C34/((Input!C14-'Cost sheet'!C43)/Input!C14))&lt;1,"✓ Match","⚠ Mismatch")</f>
        <v/>
      </c>
    </row>
    <row r="66" ht="15.6" customHeight="1" thickBot="1">
      <c r="B66" s="48" t="inlineStr">
        <is>
          <t>Contribution per seat &gt; 0 (positive contribution)</t>
        </is>
      </c>
      <c r="C66" s="217">
        <f>IF(Input!C14&gt;'Cost sheet'!C43,"✓ Contribution Positive","✗ Price &lt; Variable Cost")</f>
        <v/>
      </c>
    </row>
    <row r="69" ht="15.6" customHeight="1">
      <c r="B69" s="25" t="inlineStr">
        <is>
          <t xml:space="preserve">Price per Seat per month </t>
        </is>
      </c>
      <c r="C69" s="9" t="inlineStr">
        <is>
          <t>BEP Seats</t>
        </is>
      </c>
    </row>
    <row r="70" ht="15" customHeight="1">
      <c r="B70" s="304">
        <f>B40</f>
        <v/>
      </c>
      <c r="C70" s="293">
        <f>C40</f>
        <v/>
      </c>
    </row>
    <row r="71" ht="15" customHeight="1">
      <c r="B71" s="304">
        <f>B41</f>
        <v/>
      </c>
      <c r="C71" s="293">
        <f>C41</f>
        <v/>
      </c>
    </row>
    <row r="72" ht="15" customHeight="1">
      <c r="B72" s="370">
        <f>B42</f>
        <v/>
      </c>
      <c r="C72" s="371">
        <f>C42</f>
        <v/>
      </c>
    </row>
    <row r="73" ht="15" customHeight="1">
      <c r="B73" s="304">
        <f>B43</f>
        <v/>
      </c>
      <c r="C73" s="293">
        <f>C43</f>
        <v/>
      </c>
    </row>
    <row r="74" ht="15" customHeight="1">
      <c r="B74" s="304">
        <f>B44</f>
        <v/>
      </c>
      <c r="C74" s="293">
        <f>C44</f>
        <v/>
      </c>
    </row>
    <row r="75" ht="15" customHeight="1">
      <c r="B75" s="304">
        <f>B45</f>
        <v/>
      </c>
      <c r="C75" s="293">
        <f>C45</f>
        <v/>
      </c>
    </row>
    <row r="76" ht="15" customHeight="1">
      <c r="B76" s="304">
        <f>B46</f>
        <v/>
      </c>
      <c r="C76" s="293">
        <f>C46</f>
        <v/>
      </c>
    </row>
    <row r="77" ht="15" customHeight="1">
      <c r="B77" s="304">
        <f>B47</f>
        <v/>
      </c>
      <c r="C77" s="293">
        <f>C47</f>
        <v/>
      </c>
    </row>
    <row r="78" ht="15" customHeight="1">
      <c r="B78" s="304">
        <f>B48</f>
        <v/>
      </c>
      <c r="C78" s="293">
        <f>C48</f>
        <v/>
      </c>
    </row>
    <row r="79" ht="15" customHeight="1">
      <c r="B79" s="304">
        <f>B49</f>
        <v/>
      </c>
      <c r="C79" s="293">
        <f>C49</f>
        <v/>
      </c>
    </row>
  </sheetData>
  <mergeCells count="7">
    <mergeCell ref="B18:E18"/>
    <mergeCell ref="B5:D5"/>
    <mergeCell ref="B38:F38"/>
    <mergeCell ref="B2:F2"/>
    <mergeCell ref="B25:F25"/>
    <mergeCell ref="B3:F3"/>
    <mergeCell ref="B51:F51"/>
  </mergeCells>
  <hyperlinks>
    <hyperlink ref="B1" location="'Navigation Tab'!A1" display="Navigation Tab"/>
  </hyperlinks>
  <pageMargins left="0.75" right="0.75" top="1" bottom="1" header="0.511811023622047" footer="0.511811023622047"/>
  <pageSetup orientation="landscape" horizontalDpi="300" verticalDpi="300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codeName="Sheet13">
    <outlinePr summaryBelow="1" summaryRight="1"/>
    <pageSetUpPr fitToPage="1"/>
  </sheetPr>
  <dimension ref="B1:J56"/>
  <sheetViews>
    <sheetView showGridLines="0" topLeftCell="A14" zoomScaleNormal="100" workbookViewId="0">
      <selection activeCell="J1" sqref="J1"/>
    </sheetView>
  </sheetViews>
  <sheetFormatPr baseColWidth="8" defaultColWidth="8.6640625" defaultRowHeight="14.4"/>
  <cols>
    <col width="3" customWidth="1" min="1" max="1"/>
    <col width="27.44140625" customWidth="1" min="2" max="2"/>
    <col width="17" bestFit="1" customWidth="1" min="3" max="10"/>
  </cols>
  <sheetData>
    <row r="1" ht="21.6" customHeight="1" thickBot="1">
      <c r="B1" s="384" t="inlineStr">
        <is>
          <t>Navigation Tab</t>
        </is>
      </c>
    </row>
    <row r="2" ht="21" customHeight="1">
      <c r="B2" s="610" t="inlineStr">
        <is>
          <t>SENSITIVITY ANALYSIS — OCCUPANCY × PRICE × COST</t>
        </is>
      </c>
      <c r="C2" s="597" t="n"/>
      <c r="D2" s="597" t="n"/>
      <c r="E2" s="597" t="n"/>
      <c r="F2" s="597" t="n"/>
      <c r="G2" s="597" t="n"/>
      <c r="H2" s="597" t="n"/>
      <c r="I2" s="598" t="n"/>
    </row>
    <row r="3" ht="16.2" customHeight="1" thickBot="1">
      <c r="B3" s="630" t="inlineStr">
        <is>
          <t>Two-variable sensitivity tables showing Monthly EBITDA (approx). Yellow = current active values.</t>
        </is>
      </c>
      <c r="C3" s="600" t="n"/>
      <c r="D3" s="600" t="n"/>
      <c r="E3" s="600" t="n"/>
      <c r="F3" s="600" t="n"/>
      <c r="G3" s="600" t="n"/>
      <c r="H3" s="600" t="n"/>
      <c r="I3" s="601" t="n"/>
    </row>
    <row r="4" ht="15" customHeight="1" thickBot="1"/>
    <row r="5" ht="17.4" customHeight="1">
      <c r="B5" s="612" t="inlineStr">
        <is>
          <t>A. MONTHLY EBITDA: OCCUPANCY % vs PRICE PER SEAT</t>
        </is>
      </c>
      <c r="C5" s="594" t="n"/>
      <c r="D5" s="594" t="n"/>
      <c r="E5" s="594" t="n"/>
      <c r="F5" s="594" t="n"/>
      <c r="G5" s="594" t="n"/>
      <c r="H5" s="594" t="n"/>
      <c r="I5" s="594" t="n"/>
      <c r="J5" s="595" t="n"/>
    </row>
    <row r="6" ht="15.6" customHeight="1">
      <c r="B6" s="103" t="inlineStr">
        <is>
          <t>Occ%\Price</t>
        </is>
      </c>
      <c r="C6" s="420" t="inlineStr">
        <is>
          <t>₹5,000</t>
        </is>
      </c>
      <c r="D6" s="420" t="inlineStr">
        <is>
          <t>₹6,000</t>
        </is>
      </c>
      <c r="E6" s="420" t="inlineStr">
        <is>
          <t>₹7,500</t>
        </is>
      </c>
      <c r="F6" s="420" t="inlineStr">
        <is>
          <t>₹9,000</t>
        </is>
      </c>
      <c r="G6" s="420" t="inlineStr">
        <is>
          <t>₹10,000</t>
        </is>
      </c>
      <c r="H6" s="420" t="inlineStr">
        <is>
          <t>₹12,000</t>
        </is>
      </c>
      <c r="I6" s="420" t="inlineStr">
        <is>
          <t>₹15,000</t>
        </is>
      </c>
      <c r="J6" s="104" t="inlineStr">
        <is>
          <t>₹20,000</t>
        </is>
      </c>
    </row>
    <row r="7" ht="15" customHeight="1">
      <c r="B7" s="266" t="inlineStr">
        <is>
          <t>20%</t>
        </is>
      </c>
      <c r="C7" s="92">
        <f>ROUND(Input!C10*0.2*0.45,0)*5000+ROUND(Input!C10*0.2*0.3,0)*5000*1.15+ROUND(Input!C10*0.2*0.2,0)*5000*1.4+Revenue!F17+Revenue!F18+Revenue!F19+Revenue!F20-'Cost sheet'!C34-'Cost sheet'!C43*ROUND(Input!C10*0.2,0)</f>
        <v/>
      </c>
      <c r="D7" s="92">
        <f>ROUND(Input!C10*0.2*0.45,0)*6000+ROUND(Input!C10*0.2*0.3,0)*6000*1.15+ROUND(Input!C10*0.2*0.2,0)*6000*1.4+Revenue!F17+Revenue!F18+Revenue!F19+Revenue!F20-'Cost sheet'!C34-'Cost sheet'!C43*ROUND(Input!C10*0.2,0)</f>
        <v/>
      </c>
      <c r="E7" s="92">
        <f>ROUND(Input!C10*0.2*0.45,0)*7500+ROUND(Input!C10*0.2*0.3,0)*7500*1.15+ROUND(Input!C10*0.2*0.2,0)*7500*1.4+Revenue!F17+Revenue!F18+Revenue!F19+Revenue!F20-'Cost sheet'!C34-'Cost sheet'!C43*ROUND(Input!C10*0.2,0)</f>
        <v/>
      </c>
      <c r="F7" s="92">
        <f>ROUND(Input!C10*0.2*0.45,0)*9000+ROUND(Input!C10*0.2*0.3,0)*9000*1.15+ROUND(Input!C10*0.2*0.2,0)*9000*1.4+Revenue!F17+Revenue!F18+Revenue!F19+Revenue!F20-'Cost sheet'!C34-'Cost sheet'!C43*ROUND(Input!C10*0.2,0)</f>
        <v/>
      </c>
      <c r="G7" s="92">
        <f>ROUND(Input!C10*0.2*0.45,0)*10000+ROUND(Input!C10*0.2*0.3,0)*10000*1.15+ROUND(Input!C10*0.2*0.2,0)*10000*1.4+Revenue!F17+Revenue!F18+Revenue!F19+Revenue!F20-'Cost sheet'!C34-'Cost sheet'!C43*ROUND(Input!C10*0.2,0)</f>
        <v/>
      </c>
      <c r="H7" s="92">
        <f>ROUND(Input!C10*0.2*0.45,0)*12000+ROUND(Input!C10*0.2*0.3,0)*12000*1.15+ROUND(Input!C10*0.2*0.2,0)*12000*1.4+Revenue!F17+Revenue!F18+Revenue!F19+Revenue!F20-'Cost sheet'!C34-'Cost sheet'!C43*ROUND(Input!C10*0.2,0)</f>
        <v/>
      </c>
      <c r="I7" s="92">
        <f>ROUND(Input!C10*0.2*0.45,0)*15000+ROUND(Input!C10*0.2*0.3,0)*15000*1.15+ROUND(Input!C10*0.2*0.2,0)*15000*1.4+Revenue!F17+Revenue!F18+Revenue!F19+Revenue!F20-'Cost sheet'!C34-'Cost sheet'!C43*ROUND(Input!C10*0.2,0)</f>
        <v/>
      </c>
      <c r="J7" s="267">
        <f>ROUND(Input!C10*0.2*0.45,0)*20000+ROUND(Input!C10*0.2*0.3,0)*20000*1.15+ROUND(Input!C10*0.2*0.2,0)*20000*1.4+Revenue!F17+Revenue!F18+Revenue!F19+Revenue!F20-'Cost sheet'!C34-'Cost sheet'!C43*ROUND(Input!C10*0.2,0)</f>
        <v/>
      </c>
    </row>
    <row r="8" ht="15" customHeight="1">
      <c r="B8" s="266" t="inlineStr">
        <is>
          <t>30%</t>
        </is>
      </c>
      <c r="C8" s="92">
        <f>ROUND(Input!C10*0.3*0.45,0)*5000+ROUND(Input!C10*0.3*0.3,0)*5000*1.15+ROUND(Input!C10*0.3*0.2,0)*5000*1.4+Revenue!F17+Revenue!F18+Revenue!F19+Revenue!F20-'Cost sheet'!C34-'Cost sheet'!C43*ROUND(Input!C10*0.3,0)</f>
        <v/>
      </c>
      <c r="D8" s="92">
        <f>ROUND(Input!C10*0.3*0.45,0)*6000+ROUND(Input!C10*0.3*0.3,0)*6000*1.15+ROUND(Input!C10*0.3*0.2,0)*6000*1.4+Revenue!F17+Revenue!F18+Revenue!F19+Revenue!F20-'Cost sheet'!C34-'Cost sheet'!C43*ROUND(Input!C10*0.3,0)</f>
        <v/>
      </c>
      <c r="E8" s="92">
        <f>ROUND(Input!C10*0.3*0.45,0)*7500+ROUND(Input!C10*0.3*0.3,0)*7500*1.15+ROUND(Input!C10*0.3*0.2,0)*7500*1.4+Revenue!F17+Revenue!F18+Revenue!F19+Revenue!F20-'Cost sheet'!C34-'Cost sheet'!C43*ROUND(Input!C10*0.3,0)</f>
        <v/>
      </c>
      <c r="F8" s="92">
        <f>ROUND(Input!C10*0.3*0.45,0)*9000+ROUND(Input!C10*0.3*0.3,0)*9000*1.15+ROUND(Input!C10*0.3*0.2,0)*9000*1.4+Revenue!F17+Revenue!F18+Revenue!F19+Revenue!F20-'Cost sheet'!C34-'Cost sheet'!C43*ROUND(Input!C10*0.3,0)</f>
        <v/>
      </c>
      <c r="G8" s="92">
        <f>ROUND(Input!C10*0.3*0.45,0)*10000+ROUND(Input!C10*0.3*0.3,0)*10000*1.15+ROUND(Input!C10*0.3*0.2,0)*10000*1.4+Revenue!F17+Revenue!F18+Revenue!F19+Revenue!F20-'Cost sheet'!C34-'Cost sheet'!C43*ROUND(Input!C10*0.3,0)</f>
        <v/>
      </c>
      <c r="H8" s="92">
        <f>ROUND(Input!C10*0.3*0.45,0)*12000+ROUND(Input!C10*0.3*0.3,0)*12000*1.15+ROUND(Input!C10*0.3*0.2,0)*12000*1.4+Revenue!F17+Revenue!F18+Revenue!F19+Revenue!F20-'Cost sheet'!C34-'Cost sheet'!C43*ROUND(Input!C10*0.3,0)</f>
        <v/>
      </c>
      <c r="I8" s="92">
        <f>ROUND(Input!C10*0.3*0.45,0)*15000+ROUND(Input!C10*0.3*0.3,0)*15000*1.15+ROUND(Input!C10*0.3*0.2,0)*15000*1.4+Revenue!F17+Revenue!F18+Revenue!F19+Revenue!F20-'Cost sheet'!C34-'Cost sheet'!C43*ROUND(Input!C10*0.3,0)</f>
        <v/>
      </c>
      <c r="J8" s="267">
        <f>ROUND(Input!C10*0.3*0.45,0)*20000+ROUND(Input!C10*0.3*0.3,0)*20000*1.15+ROUND(Input!C10*0.3*0.2,0)*20000*1.4+Revenue!F17+Revenue!F18+Revenue!F19+Revenue!F20-'Cost sheet'!C34-'Cost sheet'!C43*ROUND(Input!C10*0.3,0)</f>
        <v/>
      </c>
    </row>
    <row r="9" ht="15" customHeight="1">
      <c r="B9" s="266" t="inlineStr">
        <is>
          <t>40%</t>
        </is>
      </c>
      <c r="C9" s="92">
        <f>ROUND(Input!C10*0.4*0.45,0)*5000+ROUND(Input!C10*0.4*0.3,0)*5000*1.15+ROUND(Input!C10*0.4*0.2,0)*5000*1.4+Revenue!F17+Revenue!F18+Revenue!F19+Revenue!F20-'Cost sheet'!C34-'Cost sheet'!C43*ROUND(Input!C10*0.4,0)</f>
        <v/>
      </c>
      <c r="D9" s="92">
        <f>ROUND(Input!C10*0.4*0.45,0)*6000+ROUND(Input!C10*0.4*0.3,0)*6000*1.15+ROUND(Input!C10*0.4*0.2,0)*6000*1.4+Revenue!F17+Revenue!F18+Revenue!F19+Revenue!F20-'Cost sheet'!C34-'Cost sheet'!C43*ROUND(Input!C10*0.4,0)</f>
        <v/>
      </c>
      <c r="E9" s="92">
        <f>ROUND(Input!C10*0.4*0.45,0)*7500+ROUND(Input!C10*0.4*0.3,0)*7500*1.15+ROUND(Input!C10*0.4*0.2,0)*7500*1.4+Revenue!F17+Revenue!F18+Revenue!F19+Revenue!F20-'Cost sheet'!C34-'Cost sheet'!C43*ROUND(Input!C10*0.4,0)</f>
        <v/>
      </c>
      <c r="F9" s="92">
        <f>ROUND(Input!C10*0.4*0.45,0)*9000+ROUND(Input!C10*0.4*0.3,0)*9000*1.15+ROUND(Input!C10*0.4*0.2,0)*9000*1.4+Revenue!F17+Revenue!F18+Revenue!F19+Revenue!F20-'Cost sheet'!C34-'Cost sheet'!C43*ROUND(Input!C10*0.4,0)</f>
        <v/>
      </c>
      <c r="G9" s="92">
        <f>ROUND(Input!C10*0.4*0.45,0)*10000+ROUND(Input!C10*0.4*0.3,0)*10000*1.15+ROUND(Input!C10*0.4*0.2,0)*10000*1.4+Revenue!F17+Revenue!F18+Revenue!F19+Revenue!F20-'Cost sheet'!C34-'Cost sheet'!C43*ROUND(Input!C10*0.4,0)</f>
        <v/>
      </c>
      <c r="H9" s="92">
        <f>ROUND(Input!C10*0.4*0.45,0)*12000+ROUND(Input!C10*0.4*0.3,0)*12000*1.15+ROUND(Input!C10*0.4*0.2,0)*12000*1.4+Revenue!F17+Revenue!F18+Revenue!F19+Revenue!F20-'Cost sheet'!C34-'Cost sheet'!C43*ROUND(Input!C10*0.4,0)</f>
        <v/>
      </c>
      <c r="I9" s="92">
        <f>ROUND(Input!C10*0.4*0.45,0)*15000+ROUND(Input!C10*0.4*0.3,0)*15000*1.15+ROUND(Input!C10*0.4*0.2,0)*15000*1.4+Revenue!F17+Revenue!F18+Revenue!F19+Revenue!F20-'Cost sheet'!C34-'Cost sheet'!C43*ROUND(Input!C10*0.4,0)</f>
        <v/>
      </c>
      <c r="J9" s="267">
        <f>ROUND(Input!C10*0.4*0.45,0)*20000+ROUND(Input!C10*0.4*0.3,0)*20000*1.15+ROUND(Input!C10*0.4*0.2,0)*20000*1.4+Revenue!F17+Revenue!F18+Revenue!F19+Revenue!F20-'Cost sheet'!C34-'Cost sheet'!C43*ROUND(Input!C10*0.4,0)</f>
        <v/>
      </c>
    </row>
    <row r="10" ht="15" customHeight="1">
      <c r="B10" s="266" t="inlineStr">
        <is>
          <t>50%</t>
        </is>
      </c>
      <c r="C10" s="92">
        <f>ROUND(Input!C10*0.5*0.45,0)*5000+ROUND(Input!C10*0.5*0.3,0)*5000*1.15+ROUND(Input!C10*0.5*0.2,0)*5000*1.4+Revenue!F17+Revenue!F18+Revenue!F19+Revenue!F20-'Cost sheet'!C34-'Cost sheet'!C43*ROUND(Input!C10*0.5,0)</f>
        <v/>
      </c>
      <c r="D10" s="92">
        <f>ROUND(Input!C10*0.5*0.45,0)*6000+ROUND(Input!C10*0.5*0.3,0)*6000*1.15+ROUND(Input!C10*0.5*0.2,0)*6000*1.4+Revenue!F17+Revenue!F18+Revenue!F19+Revenue!F20-'Cost sheet'!C34-'Cost sheet'!C43*ROUND(Input!C10*0.5,0)</f>
        <v/>
      </c>
      <c r="E10" s="92">
        <f>ROUND(Input!C10*0.5*0.45,0)*7500+ROUND(Input!C10*0.5*0.3,0)*7500*1.15+ROUND(Input!C10*0.5*0.2,0)*7500*1.4+Revenue!F17+Revenue!F18+Revenue!F19+Revenue!F20-'Cost sheet'!C34-'Cost sheet'!C43*ROUND(Input!C10*0.5,0)</f>
        <v/>
      </c>
      <c r="F10" s="92">
        <f>ROUND(Input!C10*0.5*0.45,0)*9000+ROUND(Input!C10*0.5*0.3,0)*9000*1.15+ROUND(Input!C10*0.5*0.2,0)*9000*1.4+Revenue!F17+Revenue!F18+Revenue!F19+Revenue!F20-'Cost sheet'!C34-'Cost sheet'!C43*ROUND(Input!C10*0.5,0)</f>
        <v/>
      </c>
      <c r="G10" s="92">
        <f>ROUND(Input!C10*0.5*0.45,0)*10000+ROUND(Input!C10*0.5*0.3,0)*10000*1.15+ROUND(Input!C10*0.5*0.2,0)*10000*1.4+Revenue!F17+Revenue!F18+Revenue!F19+Revenue!F20-'Cost sheet'!C34-'Cost sheet'!C43*ROUND(Input!C10*0.5,0)</f>
        <v/>
      </c>
      <c r="H10" s="92">
        <f>ROUND(Input!C10*0.5*0.45,0)*12000+ROUND(Input!C10*0.5*0.3,0)*12000*1.15+ROUND(Input!C10*0.5*0.2,0)*12000*1.4+Revenue!F17+Revenue!F18+Revenue!F19+Revenue!F20-'Cost sheet'!C34-'Cost sheet'!C43*ROUND(Input!C10*0.5,0)</f>
        <v/>
      </c>
      <c r="I10" s="92">
        <f>ROUND(Input!C10*0.5*0.45,0)*15000+ROUND(Input!C10*0.5*0.3,0)*15000*1.15+ROUND(Input!C10*0.5*0.2,0)*15000*1.4+Revenue!F17+Revenue!F18+Revenue!F19+Revenue!F20-'Cost sheet'!C34-'Cost sheet'!C43*ROUND(Input!C10*0.5,0)</f>
        <v/>
      </c>
      <c r="J10" s="267">
        <f>ROUND(Input!C10*0.5*0.45,0)*20000+ROUND(Input!C10*0.5*0.3,0)*20000*1.15+ROUND(Input!C10*0.5*0.2,0)*20000*1.4+Revenue!F17+Revenue!F18+Revenue!F19+Revenue!F20-'Cost sheet'!C34-'Cost sheet'!C43*ROUND(Input!C10*0.5,0)</f>
        <v/>
      </c>
    </row>
    <row r="11" ht="15" customHeight="1">
      <c r="B11" s="266" t="inlineStr">
        <is>
          <t>60%</t>
        </is>
      </c>
      <c r="C11" s="92">
        <f>ROUND(Input!C10*0.6*0.45,0)*5000+ROUND(Input!C10*0.6*0.3,0)*5000*1.15+ROUND(Input!C10*0.6*0.2,0)*5000*1.4+Revenue!F17+Revenue!F18+Revenue!F19+Revenue!F20-'Cost sheet'!C34-'Cost sheet'!C43*ROUND(Input!C10*0.6,0)</f>
        <v/>
      </c>
      <c r="D11" s="92">
        <f>ROUND(Input!C10*0.6*0.45,0)*6000+ROUND(Input!C10*0.6*0.3,0)*6000*1.15+ROUND(Input!C10*0.6*0.2,0)*6000*1.4+Revenue!F17+Revenue!F18+Revenue!F19+Revenue!F20-'Cost sheet'!C34-'Cost sheet'!C43*ROUND(Input!C10*0.6,0)</f>
        <v/>
      </c>
      <c r="E11" s="92">
        <f>ROUND(Input!C10*0.6*0.45,0)*7500+ROUND(Input!C10*0.6*0.3,0)*7500*1.15+ROUND(Input!C10*0.6*0.2,0)*7500*1.4+Revenue!F17+Revenue!F18+Revenue!F19+Revenue!F20-'Cost sheet'!C34-'Cost sheet'!C43*ROUND(Input!C10*0.6,0)</f>
        <v/>
      </c>
      <c r="F11" s="92">
        <f>ROUND(Input!C10*0.6*0.45,0)*9000+ROUND(Input!C10*0.6*0.3,0)*9000*1.15+ROUND(Input!C10*0.6*0.2,0)*9000*1.4+Revenue!F17+Revenue!F18+Revenue!F19+Revenue!F20-'Cost sheet'!C34-'Cost sheet'!C43*ROUND(Input!C10*0.6,0)</f>
        <v/>
      </c>
      <c r="G11" s="92">
        <f>ROUND(Input!C10*0.6*0.45,0)*10000+ROUND(Input!C10*0.6*0.3,0)*10000*1.15+ROUND(Input!C10*0.6*0.2,0)*10000*1.4+Revenue!F17+Revenue!F18+Revenue!F19+Revenue!F20-'Cost sheet'!C34-'Cost sheet'!C43*ROUND(Input!C10*0.6,0)</f>
        <v/>
      </c>
      <c r="H11" s="92">
        <f>ROUND(Input!C10*0.6*0.45,0)*12000+ROUND(Input!C10*0.6*0.3,0)*12000*1.15+ROUND(Input!C10*0.6*0.2,0)*12000*1.4+Revenue!F17+Revenue!F18+Revenue!F19+Revenue!F20-'Cost sheet'!C34-'Cost sheet'!C43*ROUND(Input!C10*0.6,0)</f>
        <v/>
      </c>
      <c r="I11" s="92">
        <f>ROUND(Input!C10*0.6*0.45,0)*15000+ROUND(Input!C10*0.6*0.3,0)*15000*1.15+ROUND(Input!C10*0.6*0.2,0)*15000*1.4+Revenue!F17+Revenue!F18+Revenue!F19+Revenue!F20-'Cost sheet'!C34-'Cost sheet'!C43*ROUND(Input!C10*0.6,0)</f>
        <v/>
      </c>
      <c r="J11" s="267">
        <f>ROUND(Input!C10*0.6*0.45,0)*20000+ROUND(Input!C10*0.6*0.3,0)*20000*1.15+ROUND(Input!C10*0.6*0.2,0)*20000*1.4+Revenue!F17+Revenue!F18+Revenue!F19+Revenue!F20-'Cost sheet'!C34-'Cost sheet'!C43*ROUND(Input!C10*0.6,0)</f>
        <v/>
      </c>
    </row>
    <row r="12" ht="15" customHeight="1">
      <c r="B12" s="266" t="inlineStr">
        <is>
          <t>70%</t>
        </is>
      </c>
      <c r="C12" s="92">
        <f>ROUND(Input!C10*0.7*0.45,0)*5000+ROUND(Input!C10*0.7*0.3,0)*5000*1.15+ROUND(Input!C10*0.7*0.2,0)*5000*1.4+Revenue!F17+Revenue!F18+Revenue!F19+Revenue!F20-'Cost sheet'!C34-'Cost sheet'!C43*ROUND(Input!C10*0.7,0)</f>
        <v/>
      </c>
      <c r="D12" s="92">
        <f>ROUND(Input!C10*0.7*0.45,0)*6000+ROUND(Input!C10*0.7*0.3,0)*6000*1.15+ROUND(Input!C10*0.7*0.2,0)*6000*1.4+Revenue!F17+Revenue!F18+Revenue!F19+Revenue!F20-'Cost sheet'!C34-'Cost sheet'!C43*ROUND(Input!C10*0.7,0)</f>
        <v/>
      </c>
      <c r="E12" s="92">
        <f>ROUND(Input!C10*0.7*0.45,0)*7500+ROUND(Input!C10*0.7*0.3,0)*7500*1.15+ROUND(Input!C10*0.7*0.2,0)*7500*1.4+Revenue!F17+Revenue!F18+Revenue!F19+Revenue!F20-'Cost sheet'!C34-'Cost sheet'!C43*ROUND(Input!C10*0.7,0)</f>
        <v/>
      </c>
      <c r="F12" s="92">
        <f>ROUND(Input!C10*0.7*0.45,0)*9000+ROUND(Input!C10*0.7*0.3,0)*9000*1.15+ROUND(Input!C10*0.7*0.2,0)*9000*1.4+Revenue!F17+Revenue!F18+Revenue!F19+Revenue!F20-'Cost sheet'!C34-'Cost sheet'!C43*ROUND(Input!C10*0.7,0)</f>
        <v/>
      </c>
      <c r="G12" s="92">
        <f>ROUND(Input!C10*0.7*0.45,0)*10000+ROUND(Input!C10*0.7*0.3,0)*10000*1.15+ROUND(Input!C10*0.7*0.2,0)*10000*1.4+Revenue!F17+Revenue!F18+Revenue!F19+Revenue!F20-'Cost sheet'!C34-'Cost sheet'!C43*ROUND(Input!C10*0.7,0)</f>
        <v/>
      </c>
      <c r="H12" s="92">
        <f>ROUND(Input!C10*0.7*0.45,0)*12000+ROUND(Input!C10*0.7*0.3,0)*12000*1.15+ROUND(Input!C10*0.7*0.2,0)*12000*1.4+Revenue!F17+Revenue!F18+Revenue!F19+Revenue!F20-'Cost sheet'!C34-'Cost sheet'!C43*ROUND(Input!C10*0.7,0)</f>
        <v/>
      </c>
      <c r="I12" s="92">
        <f>ROUND(Input!C10*0.7*0.45,0)*15000+ROUND(Input!C10*0.7*0.3,0)*15000*1.15+ROUND(Input!C10*0.7*0.2,0)*15000*1.4+Revenue!F17+Revenue!F18+Revenue!F19+Revenue!F20-'Cost sheet'!C34-'Cost sheet'!C43*ROUND(Input!C10*0.7,0)</f>
        <v/>
      </c>
      <c r="J12" s="267">
        <f>ROUND(Input!C10*0.7*0.45,0)*20000+ROUND(Input!C10*0.7*0.3,0)*20000*1.15+ROUND(Input!C10*0.7*0.2,0)*20000*1.4+Revenue!F17+Revenue!F18+Revenue!F19+Revenue!F20-'Cost sheet'!C34-'Cost sheet'!C43*ROUND(Input!C10*0.7,0)</f>
        <v/>
      </c>
    </row>
    <row r="13" ht="15.6" customHeight="1">
      <c r="B13" s="313" t="inlineStr">
        <is>
          <t>80%</t>
        </is>
      </c>
      <c r="C13" s="92">
        <f>ROUND(Input!C10*0.8*0.45,0)*5000+ROUND(Input!C10*0.8*0.3,0)*5000*1.15+ROUND(Input!C10*0.8*0.2,0)*5000*1.4+Revenue!F17+Revenue!F18+Revenue!F19+Revenue!F20-'Cost sheet'!C34-'Cost sheet'!C43*ROUND(Input!C10*0.8,0)</f>
        <v/>
      </c>
      <c r="D13" s="92">
        <f>ROUND(Input!C10*0.8*0.45,0)*6000+ROUND(Input!C10*0.8*0.3,0)*6000*1.15+ROUND(Input!C10*0.8*0.2,0)*6000*1.4+Revenue!F17+Revenue!F18+Revenue!F19+Revenue!F20-'Cost sheet'!C34-'Cost sheet'!C43*ROUND(Input!C10*0.8,0)</f>
        <v/>
      </c>
      <c r="E13" s="223">
        <f>ROUND(Input!C10*0.8*0.45,0)*7500+ROUND(Input!C10*0.8*0.3,0)*7500*1.15+ROUND(Input!C10*0.8*0.2,0)*7500*1.4+Revenue!F17+Revenue!F18+Revenue!F19+Revenue!F20-'Cost sheet'!C34-'Cost sheet'!C43*ROUND(Input!C10*0.8,0)</f>
        <v/>
      </c>
      <c r="F13" s="92">
        <f>ROUND(Input!C10*0.8*0.45,0)*9000+ROUND(Input!C10*0.8*0.3,0)*9000*1.15+ROUND(Input!C10*0.8*0.2,0)*9000*1.4+Revenue!F17+Revenue!F18+Revenue!F19+Revenue!F20-'Cost sheet'!C34-'Cost sheet'!C43*ROUND(Input!C10*0.8,0)</f>
        <v/>
      </c>
      <c r="G13" s="92">
        <f>ROUND(Input!C10*0.8*0.45,0)*10000+ROUND(Input!C10*0.8*0.3,0)*10000*1.15+ROUND(Input!C10*0.8*0.2,0)*10000*1.4+Revenue!F17+Revenue!F18+Revenue!F19+Revenue!F20-'Cost sheet'!C34-'Cost sheet'!C43*ROUND(Input!C10*0.8,0)</f>
        <v/>
      </c>
      <c r="H13" s="92">
        <f>ROUND(Input!C10*0.8*0.45,0)*12000+ROUND(Input!C10*0.8*0.3,0)*12000*1.15+ROUND(Input!C10*0.8*0.2,0)*12000*1.4+Revenue!F17+Revenue!F18+Revenue!F19+Revenue!F20-'Cost sheet'!C34-'Cost sheet'!C43*ROUND(Input!C10*0.8,0)</f>
        <v/>
      </c>
      <c r="I13" s="92">
        <f>ROUND(Input!C10*0.8*0.45,0)*15000+ROUND(Input!C10*0.8*0.3,0)*15000*1.15+ROUND(Input!C10*0.8*0.2,0)*15000*1.4+Revenue!F17+Revenue!F18+Revenue!F19+Revenue!F20-'Cost sheet'!C34-'Cost sheet'!C43*ROUND(Input!C10*0.8,0)</f>
        <v/>
      </c>
      <c r="J13" s="267">
        <f>ROUND(Input!C10*0.8*0.45,0)*20000+ROUND(Input!C10*0.8*0.3,0)*20000*1.15+ROUND(Input!C10*0.8*0.2,0)*20000*1.4+Revenue!F17+Revenue!F18+Revenue!F19+Revenue!F20-'Cost sheet'!C34-'Cost sheet'!C43*ROUND(Input!C10*0.8,0)</f>
        <v/>
      </c>
    </row>
    <row r="14" ht="15" customHeight="1">
      <c r="B14" s="266" t="inlineStr">
        <is>
          <t>90%</t>
        </is>
      </c>
      <c r="C14" s="92">
        <f>ROUND(Input!C10*0.9*0.45,0)*5000+ROUND(Input!C10*0.9*0.3,0)*5000*1.15+ROUND(Input!C10*0.9*0.2,0)*5000*1.4+Revenue!F17+Revenue!F18+Revenue!F19+Revenue!F20-'Cost sheet'!C34-'Cost sheet'!C43*ROUND(Input!C10*0.9,0)</f>
        <v/>
      </c>
      <c r="D14" s="92">
        <f>ROUND(Input!C10*0.9*0.45,0)*6000+ROUND(Input!C10*0.9*0.3,0)*6000*1.15+ROUND(Input!C10*0.9*0.2,0)*6000*1.4+Revenue!F17+Revenue!F18+Revenue!F19+Revenue!F20-'Cost sheet'!C34-'Cost sheet'!C43*ROUND(Input!C10*0.9,0)</f>
        <v/>
      </c>
      <c r="E14" s="92">
        <f>ROUND(Input!C10*0.9*0.45,0)*7500+ROUND(Input!C10*0.9*0.3,0)*7500*1.15+ROUND(Input!C10*0.9*0.2,0)*7500*1.4+Revenue!F17+Revenue!F18+Revenue!F19+Revenue!F20-'Cost sheet'!C34-'Cost sheet'!C43*ROUND(Input!C10*0.9,0)</f>
        <v/>
      </c>
      <c r="F14" s="92">
        <f>ROUND(Input!C10*0.9*0.45,0)*9000+ROUND(Input!C10*0.9*0.3,0)*9000*1.15+ROUND(Input!C10*0.9*0.2,0)*9000*1.4+Revenue!F17+Revenue!F18+Revenue!F19+Revenue!F20-'Cost sheet'!C34-'Cost sheet'!C43*ROUND(Input!C10*0.9,0)</f>
        <v/>
      </c>
      <c r="G14" s="92">
        <f>ROUND(Input!C10*0.9*0.45,0)*10000+ROUND(Input!C10*0.9*0.3,0)*10000*1.15+ROUND(Input!C10*0.9*0.2,0)*10000*1.4+Revenue!F17+Revenue!F18+Revenue!F19+Revenue!F20-'Cost sheet'!C34-'Cost sheet'!C43*ROUND(Input!C10*0.9,0)</f>
        <v/>
      </c>
      <c r="H14" s="92">
        <f>ROUND(Input!C10*0.9*0.45,0)*12000+ROUND(Input!C10*0.9*0.3,0)*12000*1.15+ROUND(Input!C10*0.9*0.2,0)*12000*1.4+Revenue!F17+Revenue!F18+Revenue!F19+Revenue!F20-'Cost sheet'!C34-'Cost sheet'!C43*ROUND(Input!C10*0.9,0)</f>
        <v/>
      </c>
      <c r="I14" s="92">
        <f>ROUND(Input!C10*0.9*0.45,0)*15000+ROUND(Input!C10*0.9*0.3,0)*15000*1.15+ROUND(Input!C10*0.9*0.2,0)*15000*1.4+Revenue!F17+Revenue!F18+Revenue!F19+Revenue!F20-'Cost sheet'!C34-'Cost sheet'!C43*ROUND(Input!C10*0.9,0)</f>
        <v/>
      </c>
      <c r="J14" s="267">
        <f>ROUND(Input!C10*0.9*0.45,0)*20000+ROUND(Input!C10*0.9*0.3,0)*20000*1.15+ROUND(Input!C10*0.9*0.2,0)*20000*1.4+Revenue!F17+Revenue!F18+Revenue!F19+Revenue!F20-'Cost sheet'!C34-'Cost sheet'!C43*ROUND(Input!C10*0.9,0)</f>
        <v/>
      </c>
    </row>
    <row r="15" ht="15.6" customHeight="1" thickBot="1">
      <c r="B15" s="314" t="inlineStr">
        <is>
          <t>100%</t>
        </is>
      </c>
      <c r="C15" s="106">
        <f>ROUND(Input!C10*1*0.45,0)*5000+ROUND(Input!C10*1*0.3,0)*5000*1.15+ROUND(Input!C10*1*0.2,0)*5000*1.4+Revenue!F17+Revenue!F18+Revenue!F19+Revenue!F20-'Cost sheet'!C34-'Cost sheet'!C43*ROUND(Input!C10*1,0)</f>
        <v/>
      </c>
      <c r="D15" s="106">
        <f>ROUND(Input!C10*1*0.45,0)*6000+ROUND(Input!C10*1*0.3,0)*6000*1.15+ROUND(Input!C10*1*0.2,0)*6000*1.4+Revenue!F17+Revenue!F18+Revenue!F19+Revenue!F20-'Cost sheet'!C34-'Cost sheet'!C43*ROUND(Input!C10*1,0)</f>
        <v/>
      </c>
      <c r="E15" s="106">
        <f>ROUND(Input!C10*1*0.45,0)*7500+ROUND(Input!C10*1*0.3,0)*7500*1.15+ROUND(Input!C10*1*0.2,0)*7500*1.4+Revenue!F17+Revenue!F18+Revenue!F19+Revenue!F20-'Cost sheet'!C34-'Cost sheet'!C43*ROUND(Input!C10*1,0)</f>
        <v/>
      </c>
      <c r="F15" s="106">
        <f>ROUND(Input!C10*1*0.45,0)*9000+ROUND(Input!C10*1*0.3,0)*9000*1.15+ROUND(Input!C10*1*0.2,0)*9000*1.4+Revenue!F17+Revenue!F18+Revenue!F19+Revenue!F20-'Cost sheet'!C34-'Cost sheet'!C43*ROUND(Input!C10*1,0)</f>
        <v/>
      </c>
      <c r="G15" s="106">
        <f>ROUND(Input!C10*1*0.45,0)*10000+ROUND(Input!C10*1*0.3,0)*10000*1.15+ROUND(Input!C10*1*0.2,0)*10000*1.4+Revenue!F17+Revenue!F18+Revenue!F19+Revenue!F20-'Cost sheet'!C34-'Cost sheet'!C43*ROUND(Input!C10*1,0)</f>
        <v/>
      </c>
      <c r="H15" s="106">
        <f>ROUND(Input!C10*1*0.45,0)*12000+ROUND(Input!C10*1*0.3,0)*12000*1.15+ROUND(Input!C10*1*0.2,0)*12000*1.4+Revenue!F17+Revenue!F18+Revenue!F19+Revenue!F20-'Cost sheet'!C34-'Cost sheet'!C43*ROUND(Input!C10*1,0)</f>
        <v/>
      </c>
      <c r="I15" s="106">
        <f>ROUND(Input!C10*1*0.45,0)*15000+ROUND(Input!C10*1*0.3,0)*15000*1.15+ROUND(Input!C10*1*0.2,0)*15000*1.4+Revenue!F17+Revenue!F18+Revenue!F19+Revenue!F20-'Cost sheet'!C34-'Cost sheet'!C43*ROUND(Input!C10*1,0)</f>
        <v/>
      </c>
      <c r="J15" s="315">
        <f>ROUND(Input!C10*1*0.45,0)*20000+ROUND(Input!C10*1*0.3,0)*20000*1.15+ROUND(Input!C10*1*0.2,0)*20000*1.4+Revenue!F17+Revenue!F18+Revenue!F19+Revenue!F20-'Cost sheet'!C34-'Cost sheet'!C43*ROUND(Input!C10*1,0)</f>
        <v/>
      </c>
    </row>
    <row r="16" ht="15" customHeight="1" thickBot="1">
      <c r="B16" s="282" t="n"/>
      <c r="C16" s="282" t="n"/>
      <c r="D16" s="282" t="n"/>
      <c r="E16" s="282" t="n"/>
      <c r="F16" s="282" t="n"/>
      <c r="G16" s="282" t="n"/>
      <c r="H16" s="282" t="n"/>
      <c r="I16" s="282" t="n"/>
      <c r="J16" s="282" t="n"/>
    </row>
    <row r="17" ht="17.4" customHeight="1">
      <c r="B17" s="612" t="inlineStr">
        <is>
          <t>B. MONTHLY EBITDA: OCCUPANCY % vs FIXED COST LEVEL (% of BASE)</t>
        </is>
      </c>
      <c r="C17" s="594" t="n"/>
      <c r="D17" s="594" t="n"/>
      <c r="E17" s="594" t="n"/>
      <c r="F17" s="594" t="n"/>
      <c r="G17" s="594" t="n"/>
      <c r="H17" s="594" t="n"/>
      <c r="I17" s="594" t="n"/>
      <c r="J17" s="595" t="n"/>
    </row>
    <row r="18" ht="15.6" customHeight="1">
      <c r="B18" s="103" t="inlineStr">
        <is>
          <t>Occ%\FC%</t>
        </is>
      </c>
      <c r="C18" s="420" t="inlineStr">
        <is>
          <t>60%</t>
        </is>
      </c>
      <c r="D18" s="420" t="inlineStr">
        <is>
          <t>70%</t>
        </is>
      </c>
      <c r="E18" s="420" t="inlineStr">
        <is>
          <t>80%</t>
        </is>
      </c>
      <c r="F18" s="420" t="inlineStr">
        <is>
          <t>90%</t>
        </is>
      </c>
      <c r="G18" s="420" t="inlineStr">
        <is>
          <t>100%</t>
        </is>
      </c>
      <c r="H18" s="420" t="inlineStr">
        <is>
          <t>110%</t>
        </is>
      </c>
      <c r="I18" s="420" t="inlineStr">
        <is>
          <t>120%</t>
        </is>
      </c>
      <c r="J18" s="104" t="inlineStr">
        <is>
          <t>130%</t>
        </is>
      </c>
    </row>
    <row r="19" ht="15" customHeight="1">
      <c r="B19" s="266" t="inlineStr">
        <is>
          <t>20%</t>
        </is>
      </c>
      <c r="C19" s="92">
        <f>ROUND(Input!C10*0.2*0.45,0)*Input!C14+ROUND(Input!C10*0.2*0.3,0)*Input!C14*1.15+ROUND(Input!C10*0.2*0.2,0)*Input!C14*1.4+Revenue!F17+Revenue!F18+Revenue!F19+Revenue!F20-'Cost sheet'!C34*0.6-'Cost sheet'!C43*ROUND(Input!C10*0.2,0)</f>
        <v/>
      </c>
      <c r="D19" s="92">
        <f>ROUND(Input!C10*0.2*0.45,0)*Input!C14+ROUND(Input!C10*0.2*0.3,0)*Input!C14*1.15+ROUND(Input!C10*0.2*0.2,0)*Input!C14*1.4+Revenue!F17+Revenue!F18+Revenue!F19+Revenue!F20-'Cost sheet'!C34*0.7-'Cost sheet'!C43*ROUND(Input!C10*0.2,0)</f>
        <v/>
      </c>
      <c r="E19" s="92">
        <f>ROUND(Input!C10*0.2*0.45,0)*Input!C14+ROUND(Input!C10*0.2*0.3,0)*Input!C14*1.15+ROUND(Input!C10*0.2*0.2,0)*Input!C14*1.4+Revenue!F17+Revenue!F18+Revenue!F19+Revenue!F20-'Cost sheet'!C34*0.8-'Cost sheet'!C43*ROUND(Input!C10*0.2,0)</f>
        <v/>
      </c>
      <c r="F19" s="92">
        <f>ROUND(Input!C10*0.2*0.45,0)*Input!C14+ROUND(Input!C10*0.2*0.3,0)*Input!C14*1.15+ROUND(Input!C10*0.2*0.2,0)*Input!C14*1.4+Revenue!F17+Revenue!F18+Revenue!F19+Revenue!F20-'Cost sheet'!C34*0.9-'Cost sheet'!C43*ROUND(Input!C10*0.2,0)</f>
        <v/>
      </c>
      <c r="G19" s="92">
        <f>ROUND(Input!C10*0.2*0.45,0)*Input!C14+ROUND(Input!C10*0.2*0.3,0)*Input!C14*1.15+ROUND(Input!C10*0.2*0.2,0)*Input!C14*1.4+Revenue!F17+Revenue!F18+Revenue!F19+Revenue!F20-'Cost sheet'!C34*1-'Cost sheet'!C43*ROUND(Input!C10*0.2,0)</f>
        <v/>
      </c>
      <c r="H19" s="92">
        <f>ROUND(Input!C10*0.2*0.45,0)*Input!C14+ROUND(Input!C10*0.2*0.3,0)*Input!C14*1.15+ROUND(Input!C10*0.2*0.2,0)*Input!C14*1.4+Revenue!F17+Revenue!F18+Revenue!F19+Revenue!F20-'Cost sheet'!C34*1.1-'Cost sheet'!C43*ROUND(Input!C10*0.2,0)</f>
        <v/>
      </c>
      <c r="I19" s="92">
        <f>ROUND(Input!C10*0.2*0.45,0)*Input!C14+ROUND(Input!C10*0.2*0.3,0)*Input!C14*1.15+ROUND(Input!C10*0.2*0.2,0)*Input!C14*1.4+Revenue!F17+Revenue!F18+Revenue!F19+Revenue!F20-'Cost sheet'!C34*1.2-'Cost sheet'!C43*ROUND(Input!C10*0.2,0)</f>
        <v/>
      </c>
      <c r="J19" s="267">
        <f>ROUND(Input!C10*0.2*0.45,0)*Input!C14+ROUND(Input!C10*0.2*0.3,0)*Input!C14*1.15+ROUND(Input!C10*0.2*0.2,0)*Input!C14*1.4+Revenue!F17+Revenue!F18+Revenue!F19+Revenue!F20-'Cost sheet'!C34*1.3-'Cost sheet'!C43*ROUND(Input!C10*0.2,0)</f>
        <v/>
      </c>
    </row>
    <row r="20" ht="15" customHeight="1">
      <c r="B20" s="266" t="inlineStr">
        <is>
          <t>30%</t>
        </is>
      </c>
      <c r="C20" s="92">
        <f>ROUND(Input!C10*0.3*0.45,0)*Input!C14+ROUND(Input!C10*0.3*0.3,0)*Input!C14*1.15+ROUND(Input!C10*0.3*0.2,0)*Input!C14*1.4+Revenue!F17+Revenue!F18+Revenue!F19+Revenue!F20-'Cost sheet'!C34*0.6-'Cost sheet'!C43*ROUND(Input!C10*0.3,0)</f>
        <v/>
      </c>
      <c r="D20" s="92">
        <f>ROUND(Input!C10*0.3*0.45,0)*Input!C14+ROUND(Input!C10*0.3*0.3,0)*Input!C14*1.15+ROUND(Input!C10*0.3*0.2,0)*Input!C14*1.4+Revenue!F17+Revenue!F18+Revenue!F19+Revenue!F20-'Cost sheet'!C34*0.7-'Cost sheet'!C43*ROUND(Input!C10*0.3,0)</f>
        <v/>
      </c>
      <c r="E20" s="92">
        <f>ROUND(Input!C10*0.3*0.45,0)*Input!C14+ROUND(Input!C10*0.3*0.3,0)*Input!C14*1.15+ROUND(Input!C10*0.3*0.2,0)*Input!C14*1.4+Revenue!F17+Revenue!F18+Revenue!F19+Revenue!F20-'Cost sheet'!C34*0.8-'Cost sheet'!C43*ROUND(Input!C10*0.3,0)</f>
        <v/>
      </c>
      <c r="F20" s="92">
        <f>ROUND(Input!C10*0.3*0.45,0)*Input!C14+ROUND(Input!C10*0.3*0.3,0)*Input!C14*1.15+ROUND(Input!C10*0.3*0.2,0)*Input!C14*1.4+Revenue!F17+Revenue!F18+Revenue!F19+Revenue!F20-'Cost sheet'!C34*0.9-'Cost sheet'!C43*ROUND(Input!C10*0.3,0)</f>
        <v/>
      </c>
      <c r="G20" s="92">
        <f>ROUND(Input!C10*0.3*0.45,0)*Input!C14+ROUND(Input!C10*0.3*0.3,0)*Input!C14*1.15+ROUND(Input!C10*0.3*0.2,0)*Input!C14*1.4+Revenue!F17+Revenue!F18+Revenue!F19+Revenue!F20-'Cost sheet'!C34*1-'Cost sheet'!C43*ROUND(Input!C10*0.3,0)</f>
        <v/>
      </c>
      <c r="H20" s="92">
        <f>ROUND(Input!C10*0.3*0.45,0)*Input!C14+ROUND(Input!C10*0.3*0.3,0)*Input!C14*1.15+ROUND(Input!C10*0.3*0.2,0)*Input!C14*1.4+Revenue!F17+Revenue!F18+Revenue!F19+Revenue!F20-'Cost sheet'!C34*1.1-'Cost sheet'!C43*ROUND(Input!C10*0.3,0)</f>
        <v/>
      </c>
      <c r="I20" s="92">
        <f>ROUND(Input!C10*0.3*0.45,0)*Input!C14+ROUND(Input!C10*0.3*0.3,0)*Input!C14*1.15+ROUND(Input!C10*0.3*0.2,0)*Input!C14*1.4+Revenue!F17+Revenue!F18+Revenue!F19+Revenue!F20-'Cost sheet'!C34*1.2-'Cost sheet'!C43*ROUND(Input!C10*0.3,0)</f>
        <v/>
      </c>
      <c r="J20" s="267">
        <f>ROUND(Input!C10*0.3*0.45,0)*Input!C14+ROUND(Input!C10*0.3*0.3,0)*Input!C14*1.15+ROUND(Input!C10*0.3*0.2,0)*Input!C14*1.4+Revenue!F17+Revenue!F18+Revenue!F19+Revenue!F20-'Cost sheet'!C34*1.3-'Cost sheet'!C43*ROUND(Input!C10*0.3,0)</f>
        <v/>
      </c>
    </row>
    <row r="21" ht="15" customHeight="1">
      <c r="B21" s="266" t="inlineStr">
        <is>
          <t>40%</t>
        </is>
      </c>
      <c r="C21" s="92">
        <f>ROUND(Input!C10*0.4*0.45,0)*Input!C14+ROUND(Input!C10*0.4*0.3,0)*Input!C14*1.15+ROUND(Input!C10*0.4*0.2,0)*Input!C14*1.4+Revenue!F17+Revenue!F18+Revenue!F19+Revenue!F20-'Cost sheet'!C34*0.6-'Cost sheet'!C43*ROUND(Input!C10*0.4,0)</f>
        <v/>
      </c>
      <c r="D21" s="92">
        <f>ROUND(Input!C10*0.4*0.45,0)*Input!C14+ROUND(Input!C10*0.4*0.3,0)*Input!C14*1.15+ROUND(Input!C10*0.4*0.2,0)*Input!C14*1.4+Revenue!F17+Revenue!F18+Revenue!F19+Revenue!F20-'Cost sheet'!C34*0.7-'Cost sheet'!C43*ROUND(Input!C10*0.4,0)</f>
        <v/>
      </c>
      <c r="E21" s="92">
        <f>ROUND(Input!C10*0.4*0.45,0)*Input!C14+ROUND(Input!C10*0.4*0.3,0)*Input!C14*1.15+ROUND(Input!C10*0.4*0.2,0)*Input!C14*1.4+Revenue!F17+Revenue!F18+Revenue!F19+Revenue!F20-'Cost sheet'!C34*0.8-'Cost sheet'!C43*ROUND(Input!C10*0.4,0)</f>
        <v/>
      </c>
      <c r="F21" s="92">
        <f>ROUND(Input!C10*0.4*0.45,0)*Input!C14+ROUND(Input!C10*0.4*0.3,0)*Input!C14*1.15+ROUND(Input!C10*0.4*0.2,0)*Input!C14*1.4+Revenue!F17+Revenue!F18+Revenue!F19+Revenue!F20-'Cost sheet'!C34*0.9-'Cost sheet'!C43*ROUND(Input!C10*0.4,0)</f>
        <v/>
      </c>
      <c r="G21" s="92">
        <f>ROUND(Input!C10*0.4*0.45,0)*Input!C14+ROUND(Input!C10*0.4*0.3,0)*Input!C14*1.15+ROUND(Input!C10*0.4*0.2,0)*Input!C14*1.4+Revenue!F17+Revenue!F18+Revenue!F19+Revenue!F20-'Cost sheet'!C34*1-'Cost sheet'!C43*ROUND(Input!C10*0.4,0)</f>
        <v/>
      </c>
      <c r="H21" s="92">
        <f>ROUND(Input!C10*0.4*0.45,0)*Input!C14+ROUND(Input!C10*0.4*0.3,0)*Input!C14*1.15+ROUND(Input!C10*0.4*0.2,0)*Input!C14*1.4+Revenue!F17+Revenue!F18+Revenue!F19+Revenue!F20-'Cost sheet'!C34*1.1-'Cost sheet'!C43*ROUND(Input!C10*0.4,0)</f>
        <v/>
      </c>
      <c r="I21" s="92">
        <f>ROUND(Input!C10*0.4*0.45,0)*Input!C14+ROUND(Input!C10*0.4*0.3,0)*Input!C14*1.15+ROUND(Input!C10*0.4*0.2,0)*Input!C14*1.4+Revenue!F17+Revenue!F18+Revenue!F19+Revenue!F20-'Cost sheet'!C34*1.2-'Cost sheet'!C43*ROUND(Input!C10*0.4,0)</f>
        <v/>
      </c>
      <c r="J21" s="267">
        <f>ROUND(Input!C10*0.4*0.45,0)*Input!C14+ROUND(Input!C10*0.4*0.3,0)*Input!C14*1.15+ROUND(Input!C10*0.4*0.2,0)*Input!C14*1.4+Revenue!F17+Revenue!F18+Revenue!F19+Revenue!F20-'Cost sheet'!C34*1.3-'Cost sheet'!C43*ROUND(Input!C10*0.4,0)</f>
        <v/>
      </c>
    </row>
    <row r="22" ht="15" customHeight="1">
      <c r="B22" s="266" t="inlineStr">
        <is>
          <t>50%</t>
        </is>
      </c>
      <c r="C22" s="92">
        <f>ROUND(Input!C10*0.5*0.45,0)*Input!C14+ROUND(Input!C10*0.5*0.3,0)*Input!C14*1.15+ROUND(Input!C10*0.5*0.2,0)*Input!C14*1.4+Revenue!F17+Revenue!F18+Revenue!F19+Revenue!F20-'Cost sheet'!C34*0.6-'Cost sheet'!C43*ROUND(Input!C10*0.5,0)</f>
        <v/>
      </c>
      <c r="D22" s="92">
        <f>ROUND(Input!C10*0.5*0.45,0)*Input!C14+ROUND(Input!C10*0.5*0.3,0)*Input!C14*1.15+ROUND(Input!C10*0.5*0.2,0)*Input!C14*1.4+Revenue!F17+Revenue!F18+Revenue!F19+Revenue!F20-'Cost sheet'!C34*0.7-'Cost sheet'!C43*ROUND(Input!C10*0.5,0)</f>
        <v/>
      </c>
      <c r="E22" s="92">
        <f>ROUND(Input!C10*0.5*0.45,0)*Input!C14+ROUND(Input!C10*0.5*0.3,0)*Input!C14*1.15+ROUND(Input!C10*0.5*0.2,0)*Input!C14*1.4+Revenue!F17+Revenue!F18+Revenue!F19+Revenue!F20-'Cost sheet'!C34*0.8-'Cost sheet'!C43*ROUND(Input!C10*0.5,0)</f>
        <v/>
      </c>
      <c r="F22" s="92">
        <f>ROUND(Input!C10*0.5*0.45,0)*Input!C14+ROUND(Input!C10*0.5*0.3,0)*Input!C14*1.15+ROUND(Input!C10*0.5*0.2,0)*Input!C14*1.4+Revenue!F17+Revenue!F18+Revenue!F19+Revenue!F20-'Cost sheet'!C34*0.9-'Cost sheet'!C43*ROUND(Input!C10*0.5,0)</f>
        <v/>
      </c>
      <c r="G22" s="92">
        <f>ROUND(Input!C10*0.5*0.45,0)*Input!C14+ROUND(Input!C10*0.5*0.3,0)*Input!C14*1.15+ROUND(Input!C10*0.5*0.2,0)*Input!C14*1.4+Revenue!F17+Revenue!F18+Revenue!F19+Revenue!F20-'Cost sheet'!C34*1-'Cost sheet'!C43*ROUND(Input!C10*0.5,0)</f>
        <v/>
      </c>
      <c r="H22" s="92">
        <f>ROUND(Input!C10*0.5*0.45,0)*Input!C14+ROUND(Input!C10*0.5*0.3,0)*Input!C14*1.15+ROUND(Input!C10*0.5*0.2,0)*Input!C14*1.4+Revenue!F17+Revenue!F18+Revenue!F19+Revenue!F20-'Cost sheet'!C34*1.1-'Cost sheet'!C43*ROUND(Input!C10*0.5,0)</f>
        <v/>
      </c>
      <c r="I22" s="92">
        <f>ROUND(Input!C10*0.5*0.45,0)*Input!C14+ROUND(Input!C10*0.5*0.3,0)*Input!C14*1.15+ROUND(Input!C10*0.5*0.2,0)*Input!C14*1.4+Revenue!F17+Revenue!F18+Revenue!F19+Revenue!F20-'Cost sheet'!C34*1.2-'Cost sheet'!C43*ROUND(Input!C10*0.5,0)</f>
        <v/>
      </c>
      <c r="J22" s="267">
        <f>ROUND(Input!C10*0.5*0.45,0)*Input!C14+ROUND(Input!C10*0.5*0.3,0)*Input!C14*1.15+ROUND(Input!C10*0.5*0.2,0)*Input!C14*1.4+Revenue!F17+Revenue!F18+Revenue!F19+Revenue!F20-'Cost sheet'!C34*1.3-'Cost sheet'!C43*ROUND(Input!C10*0.5,0)</f>
        <v/>
      </c>
    </row>
    <row r="23" ht="15" customHeight="1">
      <c r="B23" s="266" t="inlineStr">
        <is>
          <t>60%</t>
        </is>
      </c>
      <c r="C23" s="92">
        <f>ROUND(Input!C10*0.6*0.45,0)*Input!C14+ROUND(Input!C10*0.6*0.3,0)*Input!C14*1.15+ROUND(Input!C10*0.6*0.2,0)*Input!C14*1.4+Revenue!F17+Revenue!F18+Revenue!F19+Revenue!F20-'Cost sheet'!C34*0.6-'Cost sheet'!C43*ROUND(Input!C10*0.6,0)</f>
        <v/>
      </c>
      <c r="D23" s="92">
        <f>ROUND(Input!C10*0.6*0.45,0)*Input!C14+ROUND(Input!C10*0.6*0.3,0)*Input!C14*1.15+ROUND(Input!C10*0.6*0.2,0)*Input!C14*1.4+Revenue!F17+Revenue!F18+Revenue!F19+Revenue!F20-'Cost sheet'!C34*0.7-'Cost sheet'!C43*ROUND(Input!C10*0.6,0)</f>
        <v/>
      </c>
      <c r="E23" s="92">
        <f>ROUND(Input!C10*0.6*0.45,0)*Input!C14+ROUND(Input!C10*0.6*0.3,0)*Input!C14*1.15+ROUND(Input!C10*0.6*0.2,0)*Input!C14*1.4+Revenue!F17+Revenue!F18+Revenue!F19+Revenue!F20-'Cost sheet'!C34*0.8-'Cost sheet'!C43*ROUND(Input!C10*0.6,0)</f>
        <v/>
      </c>
      <c r="F23" s="92">
        <f>ROUND(Input!C10*0.6*0.45,0)*Input!C14+ROUND(Input!C10*0.6*0.3,0)*Input!C14*1.15+ROUND(Input!C10*0.6*0.2,0)*Input!C14*1.4+Revenue!F17+Revenue!F18+Revenue!F19+Revenue!F20-'Cost sheet'!C34*0.9-'Cost sheet'!C43*ROUND(Input!C10*0.6,0)</f>
        <v/>
      </c>
      <c r="G23" s="92">
        <f>ROUND(Input!C10*0.6*0.45,0)*Input!C14+ROUND(Input!C10*0.6*0.3,0)*Input!C14*1.15+ROUND(Input!C10*0.6*0.2,0)*Input!C14*1.4+Revenue!F17+Revenue!F18+Revenue!F19+Revenue!F20-'Cost sheet'!C34*1-'Cost sheet'!C43*ROUND(Input!C10*0.6,0)</f>
        <v/>
      </c>
      <c r="H23" s="92">
        <f>ROUND(Input!C10*0.6*0.45,0)*Input!C14+ROUND(Input!C10*0.6*0.3,0)*Input!C14*1.15+ROUND(Input!C10*0.6*0.2,0)*Input!C14*1.4+Revenue!F17+Revenue!F18+Revenue!F19+Revenue!F20-'Cost sheet'!C34*1.1-'Cost sheet'!C43*ROUND(Input!C10*0.6,0)</f>
        <v/>
      </c>
      <c r="I23" s="92">
        <f>ROUND(Input!C10*0.6*0.45,0)*Input!C14+ROUND(Input!C10*0.6*0.3,0)*Input!C14*1.15+ROUND(Input!C10*0.6*0.2,0)*Input!C14*1.4+Revenue!F17+Revenue!F18+Revenue!F19+Revenue!F20-'Cost sheet'!C34*1.2-'Cost sheet'!C43*ROUND(Input!C10*0.6,0)</f>
        <v/>
      </c>
      <c r="J23" s="267">
        <f>ROUND(Input!C10*0.6*0.45,0)*Input!C14+ROUND(Input!C10*0.6*0.3,0)*Input!C14*1.15+ROUND(Input!C10*0.6*0.2,0)*Input!C14*1.4+Revenue!F17+Revenue!F18+Revenue!F19+Revenue!F20-'Cost sheet'!C34*1.3-'Cost sheet'!C43*ROUND(Input!C10*0.6,0)</f>
        <v/>
      </c>
    </row>
    <row r="24" ht="15" customHeight="1">
      <c r="B24" s="266" t="inlineStr">
        <is>
          <t>70%</t>
        </is>
      </c>
      <c r="C24" s="92">
        <f>ROUND(Input!C10*0.7*0.45,0)*Input!C14+ROUND(Input!C10*0.7*0.3,0)*Input!C14*1.15+ROUND(Input!C10*0.7*0.2,0)*Input!C14*1.4+Revenue!F17+Revenue!F18+Revenue!F19+Revenue!F20-'Cost sheet'!C34*0.6-'Cost sheet'!C43*ROUND(Input!C10*0.7,0)</f>
        <v/>
      </c>
      <c r="D24" s="92">
        <f>ROUND(Input!C10*0.7*0.45,0)*Input!C14+ROUND(Input!C10*0.7*0.3,0)*Input!C14*1.15+ROUND(Input!C10*0.7*0.2,0)*Input!C14*1.4+Revenue!F17+Revenue!F18+Revenue!F19+Revenue!F20-'Cost sheet'!C34*0.7-'Cost sheet'!C43*ROUND(Input!C10*0.7,0)</f>
        <v/>
      </c>
      <c r="E24" s="92">
        <f>ROUND(Input!C10*0.7*0.45,0)*Input!C14+ROUND(Input!C10*0.7*0.3,0)*Input!C14*1.15+ROUND(Input!C10*0.7*0.2,0)*Input!C14*1.4+Revenue!F17+Revenue!F18+Revenue!F19+Revenue!F20-'Cost sheet'!C34*0.8-'Cost sheet'!C43*ROUND(Input!C10*0.7,0)</f>
        <v/>
      </c>
      <c r="F24" s="92">
        <f>ROUND(Input!C10*0.7*0.45,0)*Input!C14+ROUND(Input!C10*0.7*0.3,0)*Input!C14*1.15+ROUND(Input!C10*0.7*0.2,0)*Input!C14*1.4+Revenue!F17+Revenue!F18+Revenue!F19+Revenue!F20-'Cost sheet'!C34*0.9-'Cost sheet'!C43*ROUND(Input!C10*0.7,0)</f>
        <v/>
      </c>
      <c r="G24" s="92">
        <f>ROUND(Input!C10*0.7*0.45,0)*Input!C14+ROUND(Input!C10*0.7*0.3,0)*Input!C14*1.15+ROUND(Input!C10*0.7*0.2,0)*Input!C14*1.4+Revenue!F17+Revenue!F18+Revenue!F19+Revenue!F20-'Cost sheet'!C34*1-'Cost sheet'!C43*ROUND(Input!C10*0.7,0)</f>
        <v/>
      </c>
      <c r="H24" s="92">
        <f>ROUND(Input!C10*0.7*0.45,0)*Input!C14+ROUND(Input!C10*0.7*0.3,0)*Input!C14*1.15+ROUND(Input!C10*0.7*0.2,0)*Input!C14*1.4+Revenue!F17+Revenue!F18+Revenue!F19+Revenue!F20-'Cost sheet'!C34*1.1-'Cost sheet'!C43*ROUND(Input!C10*0.7,0)</f>
        <v/>
      </c>
      <c r="I24" s="92">
        <f>ROUND(Input!C10*0.7*0.45,0)*Input!C14+ROUND(Input!C10*0.7*0.3,0)*Input!C14*1.15+ROUND(Input!C10*0.7*0.2,0)*Input!C14*1.4+Revenue!F17+Revenue!F18+Revenue!F19+Revenue!F20-'Cost sheet'!C34*1.2-'Cost sheet'!C43*ROUND(Input!C10*0.7,0)</f>
        <v/>
      </c>
      <c r="J24" s="267">
        <f>ROUND(Input!C10*0.7*0.45,0)*Input!C14+ROUND(Input!C10*0.7*0.3,0)*Input!C14*1.15+ROUND(Input!C10*0.7*0.2,0)*Input!C14*1.4+Revenue!F17+Revenue!F18+Revenue!F19+Revenue!F20-'Cost sheet'!C34*1.3-'Cost sheet'!C43*ROUND(Input!C10*0.7,0)</f>
        <v/>
      </c>
    </row>
    <row r="25" ht="15.6" customHeight="1">
      <c r="B25" s="313" t="inlineStr">
        <is>
          <t>80%</t>
        </is>
      </c>
      <c r="C25" s="92">
        <f>ROUND(Input!C10*0.8*0.45,0)*Input!C14+ROUND(Input!C10*0.8*0.3,0)*Input!C14*1.15+ROUND(Input!C10*0.8*0.2,0)*Input!C14*1.4+Revenue!F17+Revenue!F18+Revenue!F19+Revenue!F20-'Cost sheet'!C34*0.6-'Cost sheet'!C43*ROUND(Input!C10*0.8,0)</f>
        <v/>
      </c>
      <c r="D25" s="92">
        <f>ROUND(Input!C10*0.8*0.45,0)*Input!C14+ROUND(Input!C10*0.8*0.3,0)*Input!C14*1.15+ROUND(Input!C10*0.8*0.2,0)*Input!C14*1.4+Revenue!F17+Revenue!F18+Revenue!F19+Revenue!F20-'Cost sheet'!C34*0.7-'Cost sheet'!C43*ROUND(Input!C10*0.8,0)</f>
        <v/>
      </c>
      <c r="E25" s="92">
        <f>ROUND(Input!C10*0.8*0.45,0)*Input!C14+ROUND(Input!C10*0.8*0.3,0)*Input!C14*1.15+ROUND(Input!C10*0.8*0.2,0)*Input!C14*1.4+Revenue!F17+Revenue!F18+Revenue!F19+Revenue!F20-'Cost sheet'!C34*0.8-'Cost sheet'!C43*ROUND(Input!C10*0.8,0)</f>
        <v/>
      </c>
      <c r="F25" s="92">
        <f>ROUND(Input!C10*0.8*0.45,0)*Input!C14+ROUND(Input!C10*0.8*0.3,0)*Input!C14*1.15+ROUND(Input!C10*0.8*0.2,0)*Input!C14*1.4+Revenue!F17+Revenue!F18+Revenue!F19+Revenue!F20-'Cost sheet'!C34*0.9-'Cost sheet'!C43*ROUND(Input!C10*0.8,0)</f>
        <v/>
      </c>
      <c r="G25" s="223">
        <f>ROUND(Input!C10*0.8*0.45,0)*Input!C14+ROUND(Input!C10*0.8*0.3,0)*Input!C14*1.15+ROUND(Input!C10*0.8*0.2,0)*Input!C14*1.4+Revenue!F17+Revenue!F18+Revenue!F19+Revenue!F20-'Cost sheet'!C34*1-'Cost sheet'!C43*ROUND(Input!C10*0.8,0)</f>
        <v/>
      </c>
      <c r="H25" s="92">
        <f>ROUND(Input!C10*0.8*0.45,0)*Input!C14+ROUND(Input!C10*0.8*0.3,0)*Input!C14*1.15+ROUND(Input!C10*0.8*0.2,0)*Input!C14*1.4+Revenue!F17+Revenue!F18+Revenue!F19+Revenue!F20-'Cost sheet'!C34*1.1-'Cost sheet'!C43*ROUND(Input!C10*0.8,0)</f>
        <v/>
      </c>
      <c r="I25" s="92">
        <f>ROUND(Input!C10*0.8*0.45,0)*Input!C14+ROUND(Input!C10*0.8*0.3,0)*Input!C14*1.15+ROUND(Input!C10*0.8*0.2,0)*Input!C14*1.4+Revenue!F17+Revenue!F18+Revenue!F19+Revenue!F20-'Cost sheet'!C34*1.2-'Cost sheet'!C43*ROUND(Input!C10*0.8,0)</f>
        <v/>
      </c>
      <c r="J25" s="267">
        <f>ROUND(Input!C10*0.8*0.45,0)*Input!C14+ROUND(Input!C10*0.8*0.3,0)*Input!C14*1.15+ROUND(Input!C10*0.8*0.2,0)*Input!C14*1.4+Revenue!F17+Revenue!F18+Revenue!F19+Revenue!F20-'Cost sheet'!C34*1.3-'Cost sheet'!C43*ROUND(Input!C10*0.8,0)</f>
        <v/>
      </c>
    </row>
    <row r="26" ht="15" customHeight="1">
      <c r="B26" s="266" t="inlineStr">
        <is>
          <t>90%</t>
        </is>
      </c>
      <c r="C26" s="92">
        <f>ROUND(Input!C10*0.9*0.45,0)*Input!C14+ROUND(Input!C10*0.9*0.3,0)*Input!C14*1.15+ROUND(Input!C10*0.9*0.2,0)*Input!C14*1.4+Revenue!F17+Revenue!F18+Revenue!F19+Revenue!F20-'Cost sheet'!C34*0.6-'Cost sheet'!C43*ROUND(Input!C10*0.9,0)</f>
        <v/>
      </c>
      <c r="D26" s="92">
        <f>ROUND(Input!C10*0.9*0.45,0)*Input!C14+ROUND(Input!C10*0.9*0.3,0)*Input!C14*1.15+ROUND(Input!C10*0.9*0.2,0)*Input!C14*1.4+Revenue!F17+Revenue!F18+Revenue!F19+Revenue!F20-'Cost sheet'!C34*0.7-'Cost sheet'!C43*ROUND(Input!C10*0.9,0)</f>
        <v/>
      </c>
      <c r="E26" s="92">
        <f>ROUND(Input!C10*0.9*0.45,0)*Input!C14+ROUND(Input!C10*0.9*0.3,0)*Input!C14*1.15+ROUND(Input!C10*0.9*0.2,0)*Input!C14*1.4+Revenue!F17+Revenue!F18+Revenue!F19+Revenue!F20-'Cost sheet'!C34*0.8-'Cost sheet'!C43*ROUND(Input!C10*0.9,0)</f>
        <v/>
      </c>
      <c r="F26" s="92">
        <f>ROUND(Input!C10*0.9*0.45,0)*Input!C14+ROUND(Input!C10*0.9*0.3,0)*Input!C14*1.15+ROUND(Input!C10*0.9*0.2,0)*Input!C14*1.4+Revenue!F17+Revenue!F18+Revenue!F19+Revenue!F20-'Cost sheet'!C34*0.9-'Cost sheet'!C43*ROUND(Input!C10*0.9,0)</f>
        <v/>
      </c>
      <c r="G26" s="92">
        <f>ROUND(Input!C10*0.9*0.45,0)*Input!C14+ROUND(Input!C10*0.9*0.3,0)*Input!C14*1.15+ROUND(Input!C10*0.9*0.2,0)*Input!C14*1.4+Revenue!F17+Revenue!F18+Revenue!F19+Revenue!F20-'Cost sheet'!C34*1-'Cost sheet'!C43*ROUND(Input!C10*0.9,0)</f>
        <v/>
      </c>
      <c r="H26" s="92">
        <f>ROUND(Input!C10*0.9*0.45,0)*Input!C14+ROUND(Input!C10*0.9*0.3,0)*Input!C14*1.15+ROUND(Input!C10*0.9*0.2,0)*Input!C14*1.4+Revenue!F17+Revenue!F18+Revenue!F19+Revenue!F20-'Cost sheet'!C34*1.1-'Cost sheet'!C43*ROUND(Input!C10*0.9,0)</f>
        <v/>
      </c>
      <c r="I26" s="92">
        <f>ROUND(Input!C10*0.9*0.45,0)*Input!C14+ROUND(Input!C10*0.9*0.3,0)*Input!C14*1.15+ROUND(Input!C10*0.9*0.2,0)*Input!C14*1.4+Revenue!F17+Revenue!F18+Revenue!F19+Revenue!F20-'Cost sheet'!C34*1.2-'Cost sheet'!C43*ROUND(Input!C10*0.9,0)</f>
        <v/>
      </c>
      <c r="J26" s="267">
        <f>ROUND(Input!C10*0.9*0.45,0)*Input!C14+ROUND(Input!C10*0.9*0.3,0)*Input!C14*1.15+ROUND(Input!C10*0.9*0.2,0)*Input!C14*1.4+Revenue!F17+Revenue!F18+Revenue!F19+Revenue!F20-'Cost sheet'!C34*1.3-'Cost sheet'!C43*ROUND(Input!C10*0.9,0)</f>
        <v/>
      </c>
    </row>
    <row r="27" ht="15.6" customHeight="1" thickBot="1">
      <c r="B27" s="314" t="inlineStr">
        <is>
          <t>100%</t>
        </is>
      </c>
      <c r="C27" s="106">
        <f>ROUND(Input!C10*1*0.45,0)*Input!C14+ROUND(Input!C10*1*0.3,0)*Input!C14*1.15+ROUND(Input!C10*1*0.2,0)*Input!C14*1.4+Revenue!F17+Revenue!F18+Revenue!F19+Revenue!F20-'Cost sheet'!C34*0.6-'Cost sheet'!C43*ROUND(Input!C10*1,0)</f>
        <v/>
      </c>
      <c r="D27" s="106">
        <f>ROUND(Input!C10*1*0.45,0)*Input!C14+ROUND(Input!C10*1*0.3,0)*Input!C14*1.15+ROUND(Input!C10*1*0.2,0)*Input!C14*1.4+Revenue!F17+Revenue!F18+Revenue!F19+Revenue!F20-'Cost sheet'!C34*0.7-'Cost sheet'!C43*ROUND(Input!C10*1,0)</f>
        <v/>
      </c>
      <c r="E27" s="106">
        <f>ROUND(Input!C10*1*0.45,0)*Input!C14+ROUND(Input!C10*1*0.3,0)*Input!C14*1.15+ROUND(Input!C10*1*0.2,0)*Input!C14*1.4+Revenue!F17+Revenue!F18+Revenue!F19+Revenue!F20-'Cost sheet'!C34*0.8-'Cost sheet'!C43*ROUND(Input!C10*1,0)</f>
        <v/>
      </c>
      <c r="F27" s="106">
        <f>ROUND(Input!C10*1*0.45,0)*Input!C14+ROUND(Input!C10*1*0.3,0)*Input!C14*1.15+ROUND(Input!C10*1*0.2,0)*Input!C14*1.4+Revenue!F17+Revenue!F18+Revenue!F19+Revenue!F20-'Cost sheet'!C34*0.9-'Cost sheet'!C43*ROUND(Input!C10*1,0)</f>
        <v/>
      </c>
      <c r="G27" s="106">
        <f>ROUND(Input!C10*1*0.45,0)*Input!C14+ROUND(Input!C10*1*0.3,0)*Input!C14*1.15+ROUND(Input!C10*1*0.2,0)*Input!C14*1.4+Revenue!F17+Revenue!F18+Revenue!F19+Revenue!F20-'Cost sheet'!C34*1-'Cost sheet'!C43*ROUND(Input!C10*1,0)</f>
        <v/>
      </c>
      <c r="H27" s="106">
        <f>ROUND(Input!C10*1*0.45,0)*Input!C14+ROUND(Input!C10*1*0.3,0)*Input!C14*1.15+ROUND(Input!C10*1*0.2,0)*Input!C14*1.4+Revenue!F17+Revenue!F18+Revenue!F19+Revenue!F20-'Cost sheet'!C34*1.1-'Cost sheet'!C43*ROUND(Input!C10*1,0)</f>
        <v/>
      </c>
      <c r="I27" s="106">
        <f>ROUND(Input!C10*1*0.45,0)*Input!C14+ROUND(Input!C10*1*0.3,0)*Input!C14*1.15+ROUND(Input!C10*1*0.2,0)*Input!C14*1.4+Revenue!F17+Revenue!F18+Revenue!F19+Revenue!F20-'Cost sheet'!C34*1.2-'Cost sheet'!C43*ROUND(Input!C10*1,0)</f>
        <v/>
      </c>
      <c r="J27" s="315">
        <f>ROUND(Input!C10*1*0.45,0)*Input!C14+ROUND(Input!C10*1*0.3,0)*Input!C14*1.15+ROUND(Input!C10*1*0.2,0)*Input!C14*1.4+Revenue!F17+Revenue!F18+Revenue!F19+Revenue!F20-'Cost sheet'!C34*1.3-'Cost sheet'!C43*ROUND(Input!C10*1,0)</f>
        <v/>
      </c>
    </row>
    <row r="28" ht="15" customHeight="1" thickBot="1">
      <c r="B28" s="282" t="n"/>
      <c r="C28" s="282" t="n"/>
      <c r="D28" s="282" t="n"/>
      <c r="E28" s="282" t="n"/>
      <c r="F28" s="282" t="n"/>
      <c r="G28" s="282" t="n"/>
      <c r="H28" s="282" t="n"/>
      <c r="I28" s="282" t="n"/>
      <c r="J28" s="282" t="n"/>
    </row>
    <row r="29" ht="17.4" customHeight="1">
      <c r="B29" s="612" t="inlineStr">
        <is>
          <t>C. ANNUAL EBITDA (YEAR 3): REVENUE INFLATION vs COST ESCALATION</t>
        </is>
      </c>
      <c r="C29" s="594" t="n"/>
      <c r="D29" s="594" t="n"/>
      <c r="E29" s="594" t="n"/>
      <c r="F29" s="594" t="n"/>
      <c r="G29" s="594" t="n"/>
      <c r="H29" s="594" t="n"/>
      <c r="I29" s="594" t="n"/>
      <c r="J29" s="595" t="n"/>
    </row>
    <row r="30" ht="15.6" customHeight="1">
      <c r="B30" s="103" t="inlineStr">
        <is>
          <t>RevInfl\CostEsc</t>
        </is>
      </c>
      <c r="C30" s="420" t="inlineStr">
        <is>
          <t>CE 0%</t>
        </is>
      </c>
      <c r="D30" s="420" t="inlineStr">
        <is>
          <t>CE 2%</t>
        </is>
      </c>
      <c r="E30" s="420" t="inlineStr">
        <is>
          <t>CE 3%</t>
        </is>
      </c>
      <c r="F30" s="420" t="inlineStr">
        <is>
          <t>CE 5%</t>
        </is>
      </c>
      <c r="G30" s="420" t="inlineStr">
        <is>
          <t>CE 7%</t>
        </is>
      </c>
      <c r="H30" s="420" t="inlineStr">
        <is>
          <t>CE 10%</t>
        </is>
      </c>
      <c r="I30" s="420" t="inlineStr">
        <is>
          <t>CE 12%</t>
        </is>
      </c>
      <c r="J30" s="104" t="inlineStr">
        <is>
          <t>CE 15%</t>
        </is>
      </c>
    </row>
    <row r="31" ht="15" customHeight="1">
      <c r="B31" s="266" t="inlineStr">
        <is>
          <t>RI 0%</t>
        </is>
      </c>
      <c r="C31" s="92">
        <f>'Revenue Model'!C14*(1+0)^2*0.95-('Cost sheet'!C43*'Cost sheet'!C49*12)*(1+0)^2-'P&amp;L'!C18-('P&amp;L'!C24-'P&amp;L'!C18)*(1+0)^2</f>
        <v/>
      </c>
      <c r="D31" s="92">
        <f>'Revenue Model'!C14*(1+0)^2*0.95-('Cost sheet'!C43*'Cost sheet'!C49*12)*(1+0.02)^2-'P&amp;L'!C18-('P&amp;L'!C24-'P&amp;L'!C18)*(1+0.02)^2</f>
        <v/>
      </c>
      <c r="E31" s="92">
        <f>'Revenue Model'!C14*(1+0)^2*0.95-('Cost sheet'!C43*'Cost sheet'!C49*12)*(1+0.03)^2-'P&amp;L'!C18-('P&amp;L'!C24-'P&amp;L'!C18)*(1+0.03)^2</f>
        <v/>
      </c>
      <c r="F31" s="92">
        <f>'Revenue Model'!C14*(1+0)^2*0.95-('Cost sheet'!C43*'Cost sheet'!C49*12)*(1+0.05)^2-'P&amp;L'!C18-('P&amp;L'!C24-'P&amp;L'!C18)*(1+0.05)^2</f>
        <v/>
      </c>
      <c r="G31" s="92">
        <f>'Revenue Model'!C14*(1+0)^2*0.95-('Cost sheet'!C43*'Cost sheet'!C49*12)*(1+0.07)^2-'P&amp;L'!C18-('P&amp;L'!C24-'P&amp;L'!C18)*(1+0.07)^2</f>
        <v/>
      </c>
      <c r="H31" s="92">
        <f>'Revenue Model'!C14*(1+0)^2*0.95-('Cost sheet'!C43*'Cost sheet'!C49*12)*(1+0.1)^2-'P&amp;L'!C18-('P&amp;L'!C24-'P&amp;L'!C18)*(1+0.1)^2</f>
        <v/>
      </c>
      <c r="I31" s="92">
        <f>'Revenue Model'!C14*(1+0)^2*0.95-('Cost sheet'!C43*'Cost sheet'!C49*12)*(1+0.12)^2-'P&amp;L'!C18-('P&amp;L'!C24-'P&amp;L'!C18)*(1+0.12)^2</f>
        <v/>
      </c>
      <c r="J31" s="267">
        <f>'Revenue Model'!C14*(1+0)^2*0.95-('Cost sheet'!C43*'Cost sheet'!C49*12)*(1+0.15)^2-'P&amp;L'!C18-('P&amp;L'!C24-'P&amp;L'!C18)*(1+0.15)^2</f>
        <v/>
      </c>
    </row>
    <row r="32" ht="15" customHeight="1">
      <c r="B32" s="266" t="inlineStr">
        <is>
          <t>RI 2%</t>
        </is>
      </c>
      <c r="C32" s="92">
        <f>'Revenue Model'!C14*(1+0.02)^2*0.95-('Cost sheet'!C43*'Cost sheet'!C49*12)*(1+0)^2-'P&amp;L'!C18-('P&amp;L'!C24-'P&amp;L'!C18)*(1+0)^2</f>
        <v/>
      </c>
      <c r="D32" s="92">
        <f>'Revenue Model'!C14*(1+0.02)^2*0.95-('Cost sheet'!C43*'Cost sheet'!C49*12)*(1+0.02)^2-'P&amp;L'!C18-('P&amp;L'!C24-'P&amp;L'!C18)*(1+0.02)^2</f>
        <v/>
      </c>
      <c r="E32" s="92">
        <f>'Revenue Model'!C14*(1+0.02)^2*0.95-('Cost sheet'!C43*'Cost sheet'!C49*12)*(1+0.03)^2-'P&amp;L'!C18-('P&amp;L'!C24-'P&amp;L'!C18)*(1+0.03)^2</f>
        <v/>
      </c>
      <c r="F32" s="92">
        <f>'Revenue Model'!C14*(1+0.02)^2*0.95-('Cost sheet'!C43*'Cost sheet'!C49*12)*(1+0.05)^2-'P&amp;L'!C18-('P&amp;L'!C24-'P&amp;L'!C18)*(1+0.05)^2</f>
        <v/>
      </c>
      <c r="G32" s="92">
        <f>'Revenue Model'!C14*(1+0.02)^2*0.95-('Cost sheet'!C43*'Cost sheet'!C49*12)*(1+0.07)^2-'P&amp;L'!C18-('P&amp;L'!C24-'P&amp;L'!C18)*(1+0.07)^2</f>
        <v/>
      </c>
      <c r="H32" s="92">
        <f>'Revenue Model'!C14*(1+0.02)^2*0.95-('Cost sheet'!C43*'Cost sheet'!C49*12)*(1+0.1)^2-'P&amp;L'!C18-('P&amp;L'!C24-'P&amp;L'!C18)*(1+0.1)^2</f>
        <v/>
      </c>
      <c r="I32" s="92">
        <f>'Revenue Model'!C14*(1+0.02)^2*0.95-('Cost sheet'!C43*'Cost sheet'!C49*12)*(1+0.12)^2-'P&amp;L'!C18-('P&amp;L'!C24-'P&amp;L'!C18)*(1+0.12)^2</f>
        <v/>
      </c>
      <c r="J32" s="267">
        <f>'Revenue Model'!C14*(1+0.02)^2*0.95-('Cost sheet'!C43*'Cost sheet'!C49*12)*(1+0.15)^2-'P&amp;L'!C18-('P&amp;L'!C24-'P&amp;L'!C18)*(1+0.15)^2</f>
        <v/>
      </c>
    </row>
    <row r="33" ht="15" customHeight="1">
      <c r="B33" s="266" t="inlineStr">
        <is>
          <t>RI 3%</t>
        </is>
      </c>
      <c r="C33" s="92">
        <f>'Revenue Model'!C14*(1+0.03)^2*0.95-('Cost sheet'!C43*'Cost sheet'!C49*12)*(1+0)^2-'P&amp;L'!C18-('P&amp;L'!C24-'P&amp;L'!C18)*(1+0)^2</f>
        <v/>
      </c>
      <c r="D33" s="92">
        <f>'Revenue Model'!C14*(1+0.03)^2*0.95-('Cost sheet'!C43*'Cost sheet'!C49*12)*(1+0.02)^2-'P&amp;L'!C18-('P&amp;L'!C24-'P&amp;L'!C18)*(1+0.02)^2</f>
        <v/>
      </c>
      <c r="E33" s="92">
        <f>'Revenue Model'!C14*(1+0.03)^2*0.95-('Cost sheet'!C43*'Cost sheet'!C49*12)*(1+0.03)^2-'P&amp;L'!C18-('P&amp;L'!C24-'P&amp;L'!C18)*(1+0.03)^2</f>
        <v/>
      </c>
      <c r="F33" s="92">
        <f>'Revenue Model'!C14*(1+0.03)^2*0.95-('Cost sheet'!C43*'Cost sheet'!C49*12)*(1+0.05)^2-'P&amp;L'!C18-('P&amp;L'!C24-'P&amp;L'!C18)*(1+0.05)^2</f>
        <v/>
      </c>
      <c r="G33" s="92">
        <f>'Revenue Model'!C14*(1+0.03)^2*0.95-('Cost sheet'!C43*'Cost sheet'!C49*12)*(1+0.07)^2-'P&amp;L'!C18-('P&amp;L'!C24-'P&amp;L'!C18)*(1+0.07)^2</f>
        <v/>
      </c>
      <c r="H33" s="92">
        <f>'Revenue Model'!C14*(1+0.03)^2*0.95-('Cost sheet'!C43*'Cost sheet'!C49*12)*(1+0.1)^2-'P&amp;L'!C18-('P&amp;L'!C24-'P&amp;L'!C18)*(1+0.1)^2</f>
        <v/>
      </c>
      <c r="I33" s="92">
        <f>'Revenue Model'!C14*(1+0.03)^2*0.95-('Cost sheet'!C43*'Cost sheet'!C49*12)*(1+0.12)^2-'P&amp;L'!C18-('P&amp;L'!C24-'P&amp;L'!C18)*(1+0.12)^2</f>
        <v/>
      </c>
      <c r="J33" s="267">
        <f>'Revenue Model'!C14*(1+0.03)^2*0.95-('Cost sheet'!C43*'Cost sheet'!C49*12)*(1+0.15)^2-'P&amp;L'!C18-('P&amp;L'!C24-'P&amp;L'!C18)*(1+0.15)^2</f>
        <v/>
      </c>
    </row>
    <row r="34" ht="15.6" customHeight="1">
      <c r="B34" s="313" t="inlineStr">
        <is>
          <t>RI 5%</t>
        </is>
      </c>
      <c r="C34" s="92">
        <f>'Revenue Model'!C14*(1+0.05)^2*0.95-('Cost sheet'!C43*'Cost sheet'!C49*12)*(1+0)^2-'P&amp;L'!C18-('P&amp;L'!C24-'P&amp;L'!C18)*(1+0)^2</f>
        <v/>
      </c>
      <c r="D34" s="92">
        <f>'Revenue Model'!C14*(1+0.05)^2*0.95-('Cost sheet'!C43*'Cost sheet'!C49*12)*(1+0.02)^2-'P&amp;L'!C18-('P&amp;L'!C24-'P&amp;L'!C18)*(1+0.02)^2</f>
        <v/>
      </c>
      <c r="E34" s="92">
        <f>'Revenue Model'!C14*(1+0.05)^2*0.95-('Cost sheet'!C43*'Cost sheet'!C49*12)*(1+0.03)^2-'P&amp;L'!C18-('P&amp;L'!C24-'P&amp;L'!C18)*(1+0.03)^2</f>
        <v/>
      </c>
      <c r="F34" s="191">
        <f>'Revenue Model'!C14*(1+0.05)^2*0.95-('Cost sheet'!C43*'Cost sheet'!C49*12)*(1+0.05)^2-'P&amp;L'!C18-('P&amp;L'!C24-'P&amp;L'!C18)*(1+0.05)^2</f>
        <v/>
      </c>
      <c r="G34" s="92">
        <f>'Revenue Model'!C14*(1+0.05)^2*0.95-('Cost sheet'!C43*'Cost sheet'!C49*12)*(1+0.07)^2-'P&amp;L'!C18-('P&amp;L'!C24-'P&amp;L'!C18)*(1+0.07)^2</f>
        <v/>
      </c>
      <c r="H34" s="92">
        <f>'Revenue Model'!C14*(1+0.05)^2*0.95-('Cost sheet'!C43*'Cost sheet'!C49*12)*(1+0.1)^2-'P&amp;L'!C18-('P&amp;L'!C24-'P&amp;L'!C18)*(1+0.1)^2</f>
        <v/>
      </c>
      <c r="I34" s="92">
        <f>'Revenue Model'!C14*(1+0.05)^2*0.95-('Cost sheet'!C43*'Cost sheet'!C49*12)*(1+0.12)^2-'P&amp;L'!C18-('P&amp;L'!C24-'P&amp;L'!C18)*(1+0.12)^2</f>
        <v/>
      </c>
      <c r="J34" s="267">
        <f>'Revenue Model'!C14*(1+0.05)^2*0.95-('Cost sheet'!C43*'Cost sheet'!C49*12)*(1+0.15)^2-'P&amp;L'!C18-('P&amp;L'!C24-'P&amp;L'!C18)*(1+0.15)^2</f>
        <v/>
      </c>
    </row>
    <row r="35" ht="15" customHeight="1">
      <c r="B35" s="266" t="inlineStr">
        <is>
          <t>RI 7%</t>
        </is>
      </c>
      <c r="C35" s="92">
        <f>'Revenue Model'!C14*(1+0.07)^2*0.95-('Cost sheet'!C43*'Cost sheet'!C49*12)*(1+0)^2-'P&amp;L'!C18-('P&amp;L'!C24-'P&amp;L'!C18)*(1+0)^2</f>
        <v/>
      </c>
      <c r="D35" s="92">
        <f>'Revenue Model'!C14*(1+0.07)^2*0.95-('Cost sheet'!C43*'Cost sheet'!C49*12)*(1+0.02)^2-'P&amp;L'!C18-('P&amp;L'!C24-'P&amp;L'!C18)*(1+0.02)^2</f>
        <v/>
      </c>
      <c r="E35" s="92">
        <f>'Revenue Model'!C14*(1+0.07)^2*0.95-('Cost sheet'!C43*'Cost sheet'!C49*12)*(1+0.03)^2-'P&amp;L'!C18-('P&amp;L'!C24-'P&amp;L'!C18)*(1+0.03)^2</f>
        <v/>
      </c>
      <c r="F35" s="92">
        <f>'Revenue Model'!C14*(1+0.07)^2*0.95-('Cost sheet'!C43*'Cost sheet'!C49*12)*(1+0.05)^2-'P&amp;L'!C18-('P&amp;L'!C24-'P&amp;L'!C18)*(1+0.05)^2</f>
        <v/>
      </c>
      <c r="G35" s="92">
        <f>'Revenue Model'!C14*(1+0.07)^2*0.95-('Cost sheet'!C43*'Cost sheet'!C49*12)*(1+0.07)^2-'P&amp;L'!C18-('P&amp;L'!C24-'P&amp;L'!C18)*(1+0.07)^2</f>
        <v/>
      </c>
      <c r="H35" s="92">
        <f>'Revenue Model'!C14*(1+0.07)^2*0.95-('Cost sheet'!C43*'Cost sheet'!C49*12)*(1+0.1)^2-'P&amp;L'!C18-('P&amp;L'!C24-'P&amp;L'!C18)*(1+0.1)^2</f>
        <v/>
      </c>
      <c r="I35" s="92">
        <f>'Revenue Model'!C14*(1+0.07)^2*0.95-('Cost sheet'!C43*'Cost sheet'!C49*12)*(1+0.12)^2-'P&amp;L'!C18-('P&amp;L'!C24-'P&amp;L'!C18)*(1+0.12)^2</f>
        <v/>
      </c>
      <c r="J35" s="267">
        <f>'Revenue Model'!C14*(1+0.07)^2*0.95-('Cost sheet'!C43*'Cost sheet'!C49*12)*(1+0.15)^2-'P&amp;L'!C18-('P&amp;L'!C24-'P&amp;L'!C18)*(1+0.15)^2</f>
        <v/>
      </c>
    </row>
    <row r="36" ht="15" customHeight="1">
      <c r="B36" s="266" t="inlineStr">
        <is>
          <t>RI 10%</t>
        </is>
      </c>
      <c r="C36" s="92">
        <f>'Revenue Model'!C14*(1+0.1)^2*0.95-('Cost sheet'!C43*'Cost sheet'!C49*12)*(1+0)^2-'P&amp;L'!C18-('P&amp;L'!C24-'P&amp;L'!C18)*(1+0)^2</f>
        <v/>
      </c>
      <c r="D36" s="92">
        <f>'Revenue Model'!C14*(1+0.1)^2*0.95-('Cost sheet'!C43*'Cost sheet'!C49*12)*(1+0.02)^2-'P&amp;L'!C18-('P&amp;L'!C24-'P&amp;L'!C18)*(1+0.02)^2</f>
        <v/>
      </c>
      <c r="E36" s="92">
        <f>'Revenue Model'!C14*(1+0.1)^2*0.95-('Cost sheet'!C43*'Cost sheet'!C49*12)*(1+0.03)^2-'P&amp;L'!C18-('P&amp;L'!C24-'P&amp;L'!C18)*(1+0.03)^2</f>
        <v/>
      </c>
      <c r="F36" s="92">
        <f>'Revenue Model'!C14*(1+0.1)^2*0.95-('Cost sheet'!C43*'Cost sheet'!C49*12)*(1+0.05)^2-'P&amp;L'!C18-('P&amp;L'!C24-'P&amp;L'!C18)*(1+0.05)^2</f>
        <v/>
      </c>
      <c r="G36" s="92">
        <f>'Revenue Model'!C14*(1+0.1)^2*0.95-('Cost sheet'!C43*'Cost sheet'!C49*12)*(1+0.07)^2-'P&amp;L'!C18-('P&amp;L'!C24-'P&amp;L'!C18)*(1+0.07)^2</f>
        <v/>
      </c>
      <c r="H36" s="92">
        <f>'Revenue Model'!C14*(1+0.1)^2*0.95-('Cost sheet'!C43*'Cost sheet'!C49*12)*(1+0.1)^2-'P&amp;L'!C18-('P&amp;L'!C24-'P&amp;L'!C18)*(1+0.1)^2</f>
        <v/>
      </c>
      <c r="I36" s="92">
        <f>'Revenue Model'!C14*(1+0.1)^2*0.95-('Cost sheet'!C43*'Cost sheet'!C49*12)*(1+0.12)^2-'P&amp;L'!C18-('P&amp;L'!C24-'P&amp;L'!C18)*(1+0.12)^2</f>
        <v/>
      </c>
      <c r="J36" s="267">
        <f>'Revenue Model'!C14*(1+0.1)^2*0.95-('Cost sheet'!C43*'Cost sheet'!C49*12)*(1+0.15)^2-'P&amp;L'!C18-('P&amp;L'!C24-'P&amp;L'!C18)*(1+0.15)^2</f>
        <v/>
      </c>
    </row>
    <row r="37" ht="15" customHeight="1">
      <c r="B37" s="266" t="inlineStr">
        <is>
          <t>RI 12%</t>
        </is>
      </c>
      <c r="C37" s="92">
        <f>'Revenue Model'!C14*(1+0.12)^2*0.95-('Cost sheet'!C43*'Cost sheet'!C49*12)*(1+0)^2-'P&amp;L'!C18-('P&amp;L'!C24-'P&amp;L'!C18)*(1+0)^2</f>
        <v/>
      </c>
      <c r="D37" s="92">
        <f>'Revenue Model'!C14*(1+0.12)^2*0.95-('Cost sheet'!C43*'Cost sheet'!C49*12)*(1+0.02)^2-'P&amp;L'!C18-('P&amp;L'!C24-'P&amp;L'!C18)*(1+0.02)^2</f>
        <v/>
      </c>
      <c r="E37" s="92">
        <f>'Revenue Model'!C14*(1+0.12)^2*0.95-('Cost sheet'!C43*'Cost sheet'!C49*12)*(1+0.03)^2-'P&amp;L'!C18-('P&amp;L'!C24-'P&amp;L'!C18)*(1+0.03)^2</f>
        <v/>
      </c>
      <c r="F37" s="92">
        <f>'Revenue Model'!C14*(1+0.12)^2*0.95-('Cost sheet'!C43*'Cost sheet'!C49*12)*(1+0.05)^2-'P&amp;L'!C18-('P&amp;L'!C24-'P&amp;L'!C18)*(1+0.05)^2</f>
        <v/>
      </c>
      <c r="G37" s="92">
        <f>'Revenue Model'!C14*(1+0.12)^2*0.95-('Cost sheet'!C43*'Cost sheet'!C49*12)*(1+0.07)^2-'P&amp;L'!C18-('P&amp;L'!C24-'P&amp;L'!C18)*(1+0.07)^2</f>
        <v/>
      </c>
      <c r="H37" s="92">
        <f>'Revenue Model'!C14*(1+0.12)^2*0.95-('Cost sheet'!C43*'Cost sheet'!C49*12)*(1+0.1)^2-'P&amp;L'!C18-('P&amp;L'!C24-'P&amp;L'!C18)*(1+0.1)^2</f>
        <v/>
      </c>
      <c r="I37" s="92">
        <f>'Revenue Model'!C14*(1+0.12)^2*0.95-('Cost sheet'!C43*'Cost sheet'!C49*12)*(1+0.12)^2-'P&amp;L'!C18-('P&amp;L'!C24-'P&amp;L'!C18)*(1+0.12)^2</f>
        <v/>
      </c>
      <c r="J37" s="267">
        <f>'Revenue Model'!C14*(1+0.12)^2*0.95-('Cost sheet'!C43*'Cost sheet'!C49*12)*(1+0.15)^2-'P&amp;L'!C18-('P&amp;L'!C24-'P&amp;L'!C18)*(1+0.15)^2</f>
        <v/>
      </c>
    </row>
    <row r="38" ht="15.6" customHeight="1" thickBot="1">
      <c r="B38" s="314" t="inlineStr">
        <is>
          <t>RI 15%</t>
        </is>
      </c>
      <c r="C38" s="106">
        <f>'Revenue Model'!C14*(1+0.15)^2*0.95-('Cost sheet'!C43*'Cost sheet'!C49*12)*(1+0)^2-'P&amp;L'!C18-('P&amp;L'!C24-'P&amp;L'!C18)*(1+0)^2</f>
        <v/>
      </c>
      <c r="D38" s="106">
        <f>'Revenue Model'!C14*(1+0.15)^2*0.95-('Cost sheet'!C43*'Cost sheet'!C49*12)*(1+0.02)^2-'P&amp;L'!C18-('P&amp;L'!C24-'P&amp;L'!C18)*(1+0.02)^2</f>
        <v/>
      </c>
      <c r="E38" s="106">
        <f>'Revenue Model'!C14*(1+0.15)^2*0.95-('Cost sheet'!C43*'Cost sheet'!C49*12)*(1+0.03)^2-'P&amp;L'!C18-('P&amp;L'!C24-'P&amp;L'!C18)*(1+0.03)^2</f>
        <v/>
      </c>
      <c r="F38" s="106">
        <f>'Revenue Model'!C14*(1+0.15)^2*0.95-('Cost sheet'!C43*'Cost sheet'!C49*12)*(1+0.05)^2-'P&amp;L'!C18-('P&amp;L'!C24-'P&amp;L'!C18)*(1+0.05)^2</f>
        <v/>
      </c>
      <c r="G38" s="106">
        <f>'Revenue Model'!C14*(1+0.15)^2*0.95-('Cost sheet'!C43*'Cost sheet'!C49*12)*(1+0.07)^2-'P&amp;L'!C18-('P&amp;L'!C24-'P&amp;L'!C18)*(1+0.07)^2</f>
        <v/>
      </c>
      <c r="H38" s="106">
        <f>'Revenue Model'!C14*(1+0.15)^2*0.95-('Cost sheet'!C43*'Cost sheet'!C49*12)*(1+0.1)^2-'P&amp;L'!C18-('P&amp;L'!C24-'P&amp;L'!C18)*(1+0.1)^2</f>
        <v/>
      </c>
      <c r="I38" s="106">
        <f>'Revenue Model'!C14*(1+0.15)^2*0.95-('Cost sheet'!C43*'Cost sheet'!C49*12)*(1+0.12)^2-'P&amp;L'!C18-('P&amp;L'!C24-'P&amp;L'!C18)*(1+0.12)^2</f>
        <v/>
      </c>
      <c r="J38" s="315">
        <f>'Revenue Model'!C14*(1+0.15)^2*0.95-('Cost sheet'!C43*'Cost sheet'!C49*12)*(1+0.15)^2-'P&amp;L'!C18-('P&amp;L'!C24-'P&amp;L'!C18)*(1+0.15)^2</f>
        <v/>
      </c>
    </row>
    <row r="39" ht="15" customHeight="1" thickBot="1">
      <c r="B39" s="282" t="n"/>
      <c r="C39" s="282" t="n"/>
      <c r="D39" s="282" t="n"/>
      <c r="E39" s="282" t="n"/>
      <c r="F39" s="282" t="n"/>
      <c r="G39" s="282" t="n"/>
      <c r="H39" s="282" t="n"/>
      <c r="I39" s="282" t="n"/>
      <c r="J39" s="282" t="n"/>
    </row>
    <row r="40" ht="17.4" customHeight="1">
      <c r="B40" s="612" t="inlineStr">
        <is>
          <t>D. NPV SENSITIVITY: WACC vs ANNUAL EBITDA MULTIPLE (7-YR ANNUITY)</t>
        </is>
      </c>
      <c r="C40" s="594" t="n"/>
      <c r="D40" s="594" t="n"/>
      <c r="E40" s="594" t="n"/>
      <c r="F40" s="594" t="n"/>
      <c r="G40" s="594" t="n"/>
      <c r="H40" s="594" t="n"/>
      <c r="I40" s="594" t="n"/>
      <c r="J40" s="595" t="n"/>
    </row>
    <row r="41" ht="15.6" customHeight="1">
      <c r="B41" s="103" t="inlineStr">
        <is>
          <t>WACC\CF×</t>
        </is>
      </c>
      <c r="C41" s="420" t="inlineStr">
        <is>
          <t>0.50×</t>
        </is>
      </c>
      <c r="D41" s="420" t="inlineStr">
        <is>
          <t>0.75×</t>
        </is>
      </c>
      <c r="E41" s="420" t="inlineStr">
        <is>
          <t>1.00×</t>
        </is>
      </c>
      <c r="F41" s="420" t="inlineStr">
        <is>
          <t>1.25×</t>
        </is>
      </c>
      <c r="G41" s="420" t="inlineStr">
        <is>
          <t>1.50×</t>
        </is>
      </c>
      <c r="H41" s="420" t="inlineStr">
        <is>
          <t>2.00×</t>
        </is>
      </c>
      <c r="I41" s="420" t="inlineStr">
        <is>
          <t>2.50×</t>
        </is>
      </c>
      <c r="J41" s="104" t="inlineStr">
        <is>
          <t>3.00×</t>
        </is>
      </c>
    </row>
    <row r="42" ht="15" customHeight="1">
      <c r="B42" s="266" t="inlineStr">
        <is>
          <t>6%</t>
        </is>
      </c>
      <c r="C42" s="92">
        <f>'P&amp;L'!C26*0.5*((1-(1+0.06)^(-Input!C23))/0.06)-'Cost sheet'!C15</f>
        <v/>
      </c>
      <c r="D42" s="92">
        <f>'P&amp;L'!C26*0.75*((1-(1+0.06)^(-Input!C23))/0.06)-'Cost sheet'!C15</f>
        <v/>
      </c>
      <c r="E42" s="92">
        <f>'P&amp;L'!C26*1*((1-(1+0.06)^(-Input!C23))/0.06)-'Cost sheet'!C15</f>
        <v/>
      </c>
      <c r="F42" s="92">
        <f>'P&amp;L'!C26*1.25*((1-(1+0.06)^(-Input!C23))/0.06)-'Cost sheet'!C15</f>
        <v/>
      </c>
      <c r="G42" s="92">
        <f>'P&amp;L'!C26*1.5*((1-(1+0.06)^(-Input!C23))/0.06)-'Cost sheet'!C15</f>
        <v/>
      </c>
      <c r="H42" s="92">
        <f>'P&amp;L'!C26*2*((1-(1+0.06)^(-Input!C23))/0.06)-'Cost sheet'!C15</f>
        <v/>
      </c>
      <c r="I42" s="92">
        <f>'P&amp;L'!C26*2.5*((1-(1+0.06)^(-Input!C23))/0.06)-'Cost sheet'!C15</f>
        <v/>
      </c>
      <c r="J42" s="267">
        <f>'P&amp;L'!C26*3*((1-(1+0.06)^(-Input!C23))/0.06)-'Cost sheet'!C15</f>
        <v/>
      </c>
    </row>
    <row r="43" ht="15" customHeight="1">
      <c r="B43" s="266" t="inlineStr">
        <is>
          <t>8%</t>
        </is>
      </c>
      <c r="C43" s="92">
        <f>'P&amp;L'!C26*0.5*((1-(1+0.08)^(-Input!C23))/0.08)-'Cost sheet'!C15</f>
        <v/>
      </c>
      <c r="D43" s="92">
        <f>'P&amp;L'!C26*0.75*((1-(1+0.08)^(-Input!C23))/0.08)-'Cost sheet'!C15</f>
        <v/>
      </c>
      <c r="E43" s="92">
        <f>'P&amp;L'!C26*1*((1-(1+0.08)^(-Input!C23))/0.08)-'Cost sheet'!C15</f>
        <v/>
      </c>
      <c r="F43" s="92">
        <f>'P&amp;L'!C26*1.25*((1-(1+0.08)^(-Input!C23))/0.08)-'Cost sheet'!C15</f>
        <v/>
      </c>
      <c r="G43" s="92">
        <f>'P&amp;L'!C26*1.5*((1-(1+0.08)^(-Input!C23))/0.08)-'Cost sheet'!C15</f>
        <v/>
      </c>
      <c r="H43" s="92">
        <f>'P&amp;L'!C26*2*((1-(1+0.08)^(-Input!C23))/0.08)-'Cost sheet'!C15</f>
        <v/>
      </c>
      <c r="I43" s="92">
        <f>'P&amp;L'!C26*2.5*((1-(1+0.08)^(-Input!C23))/0.08)-'Cost sheet'!C15</f>
        <v/>
      </c>
      <c r="J43" s="267">
        <f>'P&amp;L'!C26*3*((1-(1+0.08)^(-Input!C23))/0.08)-'Cost sheet'!C15</f>
        <v/>
      </c>
    </row>
    <row r="44" ht="15" customHeight="1">
      <c r="B44" s="266" t="inlineStr">
        <is>
          <t>10%</t>
        </is>
      </c>
      <c r="C44" s="92">
        <f>'P&amp;L'!C26*0.5*((1-(1+0.1)^(-Input!C23))/0.1)-'Cost sheet'!C15</f>
        <v/>
      </c>
      <c r="D44" s="92">
        <f>'P&amp;L'!C26*0.75*((1-(1+0.1)^(-Input!C23))/0.1)-'Cost sheet'!C15</f>
        <v/>
      </c>
      <c r="E44" s="92">
        <f>'P&amp;L'!C26*1*((1-(1+0.1)^(-Input!C23))/0.1)-'Cost sheet'!C15</f>
        <v/>
      </c>
      <c r="F44" s="92">
        <f>'P&amp;L'!C26*1.25*((1-(1+0.1)^(-Input!C23))/0.1)-'Cost sheet'!C15</f>
        <v/>
      </c>
      <c r="G44" s="92">
        <f>'P&amp;L'!C26*1.5*((1-(1+0.1)^(-Input!C23))/0.1)-'Cost sheet'!C15</f>
        <v/>
      </c>
      <c r="H44" s="92">
        <f>'P&amp;L'!C26*2*((1-(1+0.1)^(-Input!C23))/0.1)-'Cost sheet'!C15</f>
        <v/>
      </c>
      <c r="I44" s="92">
        <f>'P&amp;L'!C26*2.5*((1-(1+0.1)^(-Input!C23))/0.1)-'Cost sheet'!C15</f>
        <v/>
      </c>
      <c r="J44" s="267">
        <f>'P&amp;L'!C26*3*((1-(1+0.1)^(-Input!C23))/0.1)-'Cost sheet'!C15</f>
        <v/>
      </c>
    </row>
    <row r="45" ht="15.6" customHeight="1">
      <c r="B45" s="313" t="inlineStr">
        <is>
          <t>12%</t>
        </is>
      </c>
      <c r="C45" s="92">
        <f>'P&amp;L'!C26*0.5*((1-(1+0.12)^(-Input!C23))/0.12)-'Cost sheet'!C15</f>
        <v/>
      </c>
      <c r="D45" s="92">
        <f>'P&amp;L'!C26*0.75*((1-(1+0.12)^(-Input!C23))/0.12)-'Cost sheet'!C15</f>
        <v/>
      </c>
      <c r="E45" s="223">
        <f>'P&amp;L'!C26*1*((1-(1+0.12)^(-Input!C23))/0.12)-'Cost sheet'!C15</f>
        <v/>
      </c>
      <c r="F45" s="92">
        <f>'P&amp;L'!C26*1.25*((1-(1+0.12)^(-Input!C23))/0.12)-'Cost sheet'!C15</f>
        <v/>
      </c>
      <c r="G45" s="92">
        <f>'P&amp;L'!C26*1.5*((1-(1+0.12)^(-Input!C23))/0.12)-'Cost sheet'!C15</f>
        <v/>
      </c>
      <c r="H45" s="92">
        <f>'P&amp;L'!C26*2*((1-(1+0.12)^(-Input!C23))/0.12)-'Cost sheet'!C15</f>
        <v/>
      </c>
      <c r="I45" s="92">
        <f>'P&amp;L'!C26*2.5*((1-(1+0.12)^(-Input!C23))/0.12)-'Cost sheet'!C15</f>
        <v/>
      </c>
      <c r="J45" s="267">
        <f>'P&amp;L'!C26*3*((1-(1+0.12)^(-Input!C23))/0.12)-'Cost sheet'!C15</f>
        <v/>
      </c>
    </row>
    <row r="46" ht="15" customHeight="1">
      <c r="B46" s="266" t="inlineStr">
        <is>
          <t>14%</t>
        </is>
      </c>
      <c r="C46" s="92">
        <f>'P&amp;L'!C26*0.5*((1-(1+0.14)^(-Input!C23))/0.14)-'Cost sheet'!C15</f>
        <v/>
      </c>
      <c r="D46" s="92">
        <f>'P&amp;L'!C26*0.75*((1-(1+0.14)^(-Input!C23))/0.14)-'Cost sheet'!C15</f>
        <v/>
      </c>
      <c r="E46" s="92">
        <f>'P&amp;L'!C26*1*((1-(1+0.14)^(-Input!C23))/0.14)-'Cost sheet'!C15</f>
        <v/>
      </c>
      <c r="F46" s="92">
        <f>'P&amp;L'!C26*1.25*((1-(1+0.14)^(-Input!C23))/0.14)-'Cost sheet'!C15</f>
        <v/>
      </c>
      <c r="G46" s="92">
        <f>'P&amp;L'!C26*1.5*((1-(1+0.14)^(-Input!C23))/0.14)-'Cost sheet'!C15</f>
        <v/>
      </c>
      <c r="H46" s="92">
        <f>'P&amp;L'!C26*2*((1-(1+0.14)^(-Input!C23))/0.14)-'Cost sheet'!C15</f>
        <v/>
      </c>
      <c r="I46" s="92">
        <f>'P&amp;L'!C26*2.5*((1-(1+0.14)^(-Input!C23))/0.14)-'Cost sheet'!C15</f>
        <v/>
      </c>
      <c r="J46" s="267">
        <f>'P&amp;L'!C26*3*((1-(1+0.14)^(-Input!C23))/0.14)-'Cost sheet'!C15</f>
        <v/>
      </c>
    </row>
    <row r="47" ht="15" customHeight="1">
      <c r="B47" s="266" t="inlineStr">
        <is>
          <t>16%</t>
        </is>
      </c>
      <c r="C47" s="92">
        <f>'P&amp;L'!C26*0.5*((1-(1+0.16)^(-Input!C23))/0.16)-'Cost sheet'!C15</f>
        <v/>
      </c>
      <c r="D47" s="92">
        <f>'P&amp;L'!C26*0.75*((1-(1+0.16)^(-Input!C23))/0.16)-'Cost sheet'!C15</f>
        <v/>
      </c>
      <c r="E47" s="92">
        <f>'P&amp;L'!C26*1*((1-(1+0.16)^(-Input!C23))/0.16)-'Cost sheet'!C15</f>
        <v/>
      </c>
      <c r="F47" s="92">
        <f>'P&amp;L'!C26*1.25*((1-(1+0.16)^(-Input!C23))/0.16)-'Cost sheet'!C15</f>
        <v/>
      </c>
      <c r="G47" s="92">
        <f>'P&amp;L'!C26*1.5*((1-(1+0.16)^(-Input!C23))/0.16)-'Cost sheet'!C15</f>
        <v/>
      </c>
      <c r="H47" s="92">
        <f>'P&amp;L'!C26*2*((1-(1+0.16)^(-Input!C23))/0.16)-'Cost sheet'!C15</f>
        <v/>
      </c>
      <c r="I47" s="92">
        <f>'P&amp;L'!C26*2.5*((1-(1+0.16)^(-Input!C23))/0.16)-'Cost sheet'!C15</f>
        <v/>
      </c>
      <c r="J47" s="267">
        <f>'P&amp;L'!C26*3*((1-(1+0.16)^(-Input!C23))/0.16)-'Cost sheet'!C15</f>
        <v/>
      </c>
    </row>
    <row r="48" ht="15" customHeight="1">
      <c r="B48" s="266" t="inlineStr">
        <is>
          <t>18%</t>
        </is>
      </c>
      <c r="C48" s="92">
        <f>'P&amp;L'!C26*0.5*((1-(1+0.18)^(-Input!C23))/0.18)-'Cost sheet'!C15</f>
        <v/>
      </c>
      <c r="D48" s="92">
        <f>'P&amp;L'!C26*0.75*((1-(1+0.18)^(-Input!C23))/0.18)-'Cost sheet'!C15</f>
        <v/>
      </c>
      <c r="E48" s="92">
        <f>'P&amp;L'!C26*1*((1-(1+0.18)^(-Input!C23))/0.18)-'Cost sheet'!C15</f>
        <v/>
      </c>
      <c r="F48" s="92">
        <f>'P&amp;L'!C26*1.25*((1-(1+0.18)^(-Input!C23))/0.18)-'Cost sheet'!C15</f>
        <v/>
      </c>
      <c r="G48" s="92">
        <f>'P&amp;L'!C26*1.5*((1-(1+0.18)^(-Input!C23))/0.18)-'Cost sheet'!C15</f>
        <v/>
      </c>
      <c r="H48" s="92">
        <f>'P&amp;L'!C26*2*((1-(1+0.18)^(-Input!C23))/0.18)-'Cost sheet'!C15</f>
        <v/>
      </c>
      <c r="I48" s="92">
        <f>'P&amp;L'!C26*2.5*((1-(1+0.18)^(-Input!C23))/0.18)-'Cost sheet'!C15</f>
        <v/>
      </c>
      <c r="J48" s="267">
        <f>'P&amp;L'!C26*3*((1-(1+0.18)^(-Input!C23))/0.18)-'Cost sheet'!C15</f>
        <v/>
      </c>
    </row>
    <row r="49" ht="15.6" customHeight="1" thickBot="1">
      <c r="B49" s="314" t="inlineStr">
        <is>
          <t>20%</t>
        </is>
      </c>
      <c r="C49" s="106">
        <f>'P&amp;L'!C26*0.5*((1-(1+0.2)^(-Input!C23))/0.2)-'Cost sheet'!C15</f>
        <v/>
      </c>
      <c r="D49" s="106">
        <f>'P&amp;L'!C26*0.75*((1-(1+0.2)^(-Input!C23))/0.2)-'Cost sheet'!C15</f>
        <v/>
      </c>
      <c r="E49" s="106">
        <f>'P&amp;L'!C26*1*((1-(1+0.2)^(-Input!C23))/0.2)-'Cost sheet'!C15</f>
        <v/>
      </c>
      <c r="F49" s="106">
        <f>'P&amp;L'!C26*1.25*((1-(1+0.2)^(-Input!C23))/0.2)-'Cost sheet'!C15</f>
        <v/>
      </c>
      <c r="G49" s="106">
        <f>'P&amp;L'!C26*1.5*((1-(1+0.2)^(-Input!C23))/0.2)-'Cost sheet'!C15</f>
        <v/>
      </c>
      <c r="H49" s="106">
        <f>'P&amp;L'!C26*2*((1-(1+0.2)^(-Input!C23))/0.2)-'Cost sheet'!C15</f>
        <v/>
      </c>
      <c r="I49" s="106">
        <f>'P&amp;L'!C26*2.5*((1-(1+0.2)^(-Input!C23))/0.2)-'Cost sheet'!C15</f>
        <v/>
      </c>
      <c r="J49" s="315">
        <f>'P&amp;L'!C26*3*((1-(1+0.2)^(-Input!C23))/0.2)-'Cost sheet'!C15</f>
        <v/>
      </c>
    </row>
    <row r="50">
      <c r="B50" s="222" t="n"/>
      <c r="C50" s="222" t="n"/>
      <c r="D50" s="222" t="n"/>
      <c r="E50" s="222" t="n"/>
      <c r="F50" s="222" t="n"/>
      <c r="G50" s="222" t="n"/>
      <c r="H50" s="222" t="n"/>
      <c r="I50" s="222" t="n"/>
      <c r="J50" s="222" t="n"/>
    </row>
    <row r="51">
      <c r="B51" s="3" t="n"/>
      <c r="C51" s="312" t="n"/>
      <c r="D51" s="312" t="n"/>
      <c r="E51" s="312" t="n"/>
      <c r="F51" s="312" t="n"/>
      <c r="G51" s="312" t="n"/>
      <c r="H51" s="312" t="n"/>
      <c r="I51" s="312" t="n"/>
      <c r="J51" s="312" t="n"/>
    </row>
    <row r="52">
      <c r="B52" s="311" t="inlineStr">
        <is>
          <t xml:space="preserve">  NOTES</t>
        </is>
      </c>
    </row>
    <row r="53" ht="15.6" customHeight="1">
      <c r="B53" s="310" t="inlineStr">
        <is>
          <t>• All tables show EBITDA-level profit (pre-interest, pre-depreciation) for simplicity.</t>
        </is>
      </c>
      <c r="C53" s="21" t="n"/>
      <c r="D53" s="21" t="n"/>
      <c r="E53" s="21" t="n"/>
      <c r="F53" s="21" t="n"/>
      <c r="G53" s="21" t="n"/>
      <c r="H53" s="21" t="n"/>
      <c r="I53" s="21" t="n"/>
    </row>
    <row r="54" ht="15.6" customHeight="1">
      <c r="B54" s="310" t="inlineStr">
        <is>
          <t>• Yellow highlight = current active Input values. Change Input!C6, C13, C14 to see sensitivity update.</t>
        </is>
      </c>
      <c r="C54" s="21" t="n"/>
      <c r="D54" s="21" t="n"/>
      <c r="E54" s="21" t="n"/>
      <c r="F54" s="21" t="n"/>
      <c r="G54" s="21" t="n"/>
      <c r="H54" s="21" t="n"/>
      <c r="I54" s="21" t="n"/>
    </row>
    <row r="55" ht="15.6" customHeight="1">
      <c r="B55" s="310" t="inlineStr">
        <is>
          <t>• Table 4: Positive NPV = value-creating at given WACC. Base Owned scenario deeply negative.</t>
        </is>
      </c>
      <c r="C55" s="21" t="n"/>
      <c r="D55" s="21" t="n"/>
      <c r="E55" s="21" t="n"/>
      <c r="F55" s="21" t="n"/>
      <c r="G55" s="21" t="n"/>
      <c r="H55" s="21" t="n"/>
      <c r="I55" s="21" t="n"/>
    </row>
    <row r="56" ht="15.6" customHeight="1">
      <c r="B56" s="310" t="inlineStr">
        <is>
          <t>• For full IRR/NPV/Payback with actual year-by-year CFs, see Investment Appraisal sheet.</t>
        </is>
      </c>
      <c r="C56" s="21" t="n"/>
      <c r="D56" s="21" t="n"/>
      <c r="E56" s="21" t="n"/>
      <c r="F56" s="21" t="n"/>
      <c r="G56" s="21" t="n"/>
      <c r="H56" s="21" t="n"/>
      <c r="I56" s="21" t="n"/>
    </row>
  </sheetData>
  <mergeCells count="6">
    <mergeCell ref="B29:J29"/>
    <mergeCell ref="B5:J5"/>
    <mergeCell ref="B2:I2"/>
    <mergeCell ref="B40:J40"/>
    <mergeCell ref="B17:J17"/>
    <mergeCell ref="B3:I3"/>
  </mergeCells>
  <conditionalFormatting sqref="B5:J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J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J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:J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1" location="'Navigation Tab'!A1" display="Navigation Tab"/>
  </hyperlinks>
  <pageMargins left="0.3" right="0.3" top="0.3" bottom="0.3" header="0.5" footer="0.5"/>
  <pageSetup orientation="landscape" fitToHeight="0" fitToWidth="1" horizontalDpi="300" verticalDpi="300"/>
</worksheet>
</file>

<file path=xl/worksheets/sheet16.xml><?xml version="1.0" encoding="utf-8"?>
<worksheet xmlns="http://schemas.openxmlformats.org/spreadsheetml/2006/main">
  <sheetPr codeName="Sheet14">
    <outlinePr summaryBelow="1" summaryRight="1"/>
    <pageSetUpPr fitToPage="1"/>
  </sheetPr>
  <dimension ref="B1:J49"/>
  <sheetViews>
    <sheetView showGridLines="0" zoomScale="85" zoomScaleNormal="85" workbookViewId="0">
      <selection activeCell="B1" sqref="B1"/>
    </sheetView>
  </sheetViews>
  <sheetFormatPr baseColWidth="8" defaultColWidth="8.6640625" defaultRowHeight="14.4"/>
  <cols>
    <col width="3" customWidth="1" min="1" max="1"/>
    <col width="49.33203125" bestFit="1" customWidth="1" min="2" max="2"/>
    <col width="17.109375" bestFit="1" customWidth="1" min="3" max="3"/>
    <col width="20" bestFit="1" customWidth="1" min="4" max="4"/>
    <col width="17.6640625" customWidth="1" min="5" max="5"/>
    <col width="18.44140625" customWidth="1" min="6" max="6"/>
    <col width="16.88671875" bestFit="1" customWidth="1" min="7" max="10"/>
  </cols>
  <sheetData>
    <row r="1" ht="21.6" customHeight="1" thickBot="1">
      <c r="B1" s="384" t="inlineStr">
        <is>
          <t>Navigation Tab</t>
        </is>
      </c>
    </row>
    <row r="2" ht="21" customHeight="1">
      <c r="B2" s="610" t="inlineStr">
        <is>
          <t>INVESTMENT APPRAISAL — NPV · IRR · PI · ARR · PAYBACK</t>
        </is>
      </c>
      <c r="C2" s="597" t="n"/>
      <c r="D2" s="597" t="n"/>
      <c r="E2" s="597" t="n"/>
      <c r="F2" s="597" t="n"/>
      <c r="G2" s="597" t="n"/>
      <c r="H2" s="597" t="n"/>
      <c r="I2" s="597" t="n"/>
      <c r="J2" s="598" t="n"/>
    </row>
    <row r="3" ht="16.2" customHeight="1" thickBot="1">
      <c r="B3" s="630" t="inlineStr">
        <is>
          <t>Cash flows from P&amp;L Yr1-5, extrapolated Yr6-7. WACC from Input!C20. 7-year horizon + terminal value.</t>
        </is>
      </c>
      <c r="C3" s="600" t="n"/>
      <c r="D3" s="600" t="n"/>
      <c r="E3" s="600" t="n"/>
      <c r="F3" s="600" t="n"/>
      <c r="G3" s="600" t="n"/>
      <c r="H3" s="600" t="n"/>
      <c r="I3" s="600" t="n"/>
      <c r="J3" s="601" t="n"/>
    </row>
    <row r="4" ht="15" customHeight="1" thickBot="1"/>
    <row r="5" ht="17.4" customHeight="1">
      <c r="B5" s="539" t="inlineStr">
        <is>
          <t xml:space="preserve">  A. CASH FLOW SCHEDULE (7-YEAR HORIZON)</t>
        </is>
      </c>
      <c r="C5" s="594" t="n"/>
      <c r="D5" s="594" t="n"/>
      <c r="E5" s="594" t="n"/>
      <c r="F5" s="594" t="n"/>
      <c r="G5" s="594" t="n"/>
      <c r="H5" s="594" t="n"/>
      <c r="I5" s="594" t="n"/>
      <c r="J5" s="603" t="n"/>
    </row>
    <row r="6" ht="31.2" customHeight="1">
      <c r="B6" s="103" t="inlineStr">
        <is>
          <t>Line Item</t>
        </is>
      </c>
      <c r="C6" s="420" t="inlineStr">
        <is>
          <t>Yr 0
(Invest)</t>
        </is>
      </c>
      <c r="D6" s="420" t="inlineStr">
        <is>
          <t>Year 1</t>
        </is>
      </c>
      <c r="E6" s="420" t="inlineStr">
        <is>
          <t>Year 2</t>
        </is>
      </c>
      <c r="F6" s="420" t="inlineStr">
        <is>
          <t>Year 3</t>
        </is>
      </c>
      <c r="G6" s="420" t="inlineStr">
        <is>
          <t>Year 4</t>
        </is>
      </c>
      <c r="H6" s="420" t="inlineStr">
        <is>
          <t>Year 5</t>
        </is>
      </c>
      <c r="I6" s="420" t="inlineStr">
        <is>
          <t>Year 6</t>
        </is>
      </c>
      <c r="J6" s="104" t="inlineStr">
        <is>
          <t>Year 7</t>
        </is>
      </c>
    </row>
    <row r="7" ht="15.6" customHeight="1">
      <c r="B7" s="307" t="inlineStr">
        <is>
          <t>Initial Investment (−CAPEX)</t>
        </is>
      </c>
      <c r="C7" s="316">
        <f>-'Cost sheet'!C15</f>
        <v/>
      </c>
      <c r="D7" s="92">
        <f>0</f>
        <v/>
      </c>
      <c r="E7" s="92">
        <f>0</f>
        <v/>
      </c>
      <c r="F7" s="92">
        <f>0</f>
        <v/>
      </c>
      <c r="G7" s="92">
        <f>0</f>
        <v/>
      </c>
      <c r="H7" s="92">
        <f>0</f>
        <v/>
      </c>
      <c r="I7" s="92">
        <f>0</f>
        <v/>
      </c>
      <c r="J7" s="267">
        <f>0</f>
        <v/>
      </c>
    </row>
    <row r="8" ht="15" customHeight="1">
      <c r="B8" s="61" t="inlineStr">
        <is>
          <t xml:space="preserve">    Annual Net Revenue</t>
        </is>
      </c>
      <c r="C8" s="92">
        <f>0</f>
        <v/>
      </c>
      <c r="D8" s="110">
        <f>'P&amp;L'!C10</f>
        <v/>
      </c>
      <c r="E8" s="110">
        <f>'P&amp;L'!D10</f>
        <v/>
      </c>
      <c r="F8" s="110">
        <f>'P&amp;L'!E10</f>
        <v/>
      </c>
      <c r="G8" s="110">
        <f>'P&amp;L'!F10</f>
        <v/>
      </c>
      <c r="H8" s="110">
        <f>'P&amp;L'!G10</f>
        <v/>
      </c>
      <c r="I8" s="92">
        <f>G8*(1+Input!C18)^1</f>
        <v/>
      </c>
      <c r="J8" s="267">
        <f>G8*(1+Input!C18)^2</f>
        <v/>
      </c>
    </row>
    <row r="9" ht="15" customHeight="1">
      <c r="B9" s="61" t="inlineStr">
        <is>
          <t xml:space="preserve">    Annual Variable Costs</t>
        </is>
      </c>
      <c r="C9" s="92">
        <f>0</f>
        <v/>
      </c>
      <c r="D9" s="92">
        <f>'P&amp;L'!C13</f>
        <v/>
      </c>
      <c r="E9" s="92">
        <f>'P&amp;L'!D13</f>
        <v/>
      </c>
      <c r="F9" s="92">
        <f>'P&amp;L'!E13</f>
        <v/>
      </c>
      <c r="G9" s="92">
        <f>'P&amp;L'!F13</f>
        <v/>
      </c>
      <c r="H9" s="92">
        <f>'P&amp;L'!G13</f>
        <v/>
      </c>
      <c r="I9" s="92">
        <f>G9*(1+Input!C19)^1</f>
        <v/>
      </c>
      <c r="J9" s="267">
        <f>G9*(1+Input!C19)^2</f>
        <v/>
      </c>
    </row>
    <row r="10" ht="15" customHeight="1">
      <c r="B10" s="61" t="inlineStr">
        <is>
          <t xml:space="preserve">    Annual Fixed Operating Costs</t>
        </is>
      </c>
      <c r="C10" s="92">
        <f>0</f>
        <v/>
      </c>
      <c r="D10" s="92">
        <f>'P&amp;L'!C24</f>
        <v/>
      </c>
      <c r="E10" s="92">
        <f>'P&amp;L'!D24</f>
        <v/>
      </c>
      <c r="F10" s="92">
        <f>'P&amp;L'!E24</f>
        <v/>
      </c>
      <c r="G10" s="92">
        <f>'P&amp;L'!F24</f>
        <v/>
      </c>
      <c r="H10" s="92">
        <f>'P&amp;L'!G24</f>
        <v/>
      </c>
      <c r="I10" s="92">
        <f>G10*(1+Input!C19)^1</f>
        <v/>
      </c>
      <c r="J10" s="267">
        <f>G10*(1+Input!C19)^2</f>
        <v/>
      </c>
    </row>
    <row r="11" ht="15.6" customHeight="1">
      <c r="B11" s="289" t="inlineStr">
        <is>
          <t>EBITDA</t>
        </is>
      </c>
      <c r="C11" s="190">
        <f>0</f>
        <v/>
      </c>
      <c r="D11" s="190">
        <f>D8-D9-D10</f>
        <v/>
      </c>
      <c r="E11" s="190">
        <f>E8-E9-E10</f>
        <v/>
      </c>
      <c r="F11" s="190">
        <f>F8-F9-F10</f>
        <v/>
      </c>
      <c r="G11" s="190">
        <f>G8-G9-G10</f>
        <v/>
      </c>
      <c r="H11" s="190">
        <f>H8-H9-H10</f>
        <v/>
      </c>
      <c r="I11" s="190">
        <f>I8-I9-I10</f>
        <v/>
      </c>
      <c r="J11" s="318">
        <f>J8-J9-J10</f>
        <v/>
      </c>
    </row>
    <row r="12" ht="15" customHeight="1">
      <c r="B12" s="61" t="inlineStr">
        <is>
          <t xml:space="preserve">    Less: Depreciation</t>
        </is>
      </c>
      <c r="C12" s="92">
        <f>0</f>
        <v/>
      </c>
      <c r="D12" s="92">
        <f>'P&amp;L'!C33</f>
        <v/>
      </c>
      <c r="E12" s="92">
        <f>'P&amp;L'!D33</f>
        <v/>
      </c>
      <c r="F12" s="92">
        <f>'P&amp;L'!E33</f>
        <v/>
      </c>
      <c r="G12" s="92">
        <f>'P&amp;L'!F33</f>
        <v/>
      </c>
      <c r="H12" s="92">
        <f>'P&amp;L'!G33</f>
        <v/>
      </c>
      <c r="I12" s="92">
        <f>0</f>
        <v/>
      </c>
      <c r="J12" s="267">
        <f>0</f>
        <v/>
      </c>
    </row>
    <row r="13" ht="15" customHeight="1">
      <c r="B13" s="61" t="inlineStr">
        <is>
          <t xml:space="preserve">    Less: Interest on Loan</t>
        </is>
      </c>
      <c r="C13" s="92">
        <f>0</f>
        <v/>
      </c>
      <c r="D13" s="92">
        <f>'P&amp;L'!C39</f>
        <v/>
      </c>
      <c r="E13" s="92">
        <f>'P&amp;L'!D39</f>
        <v/>
      </c>
      <c r="F13" s="92">
        <f>'P&amp;L'!E39</f>
        <v/>
      </c>
      <c r="G13" s="92">
        <f>'P&amp;L'!F39</f>
        <v/>
      </c>
      <c r="H13" s="92">
        <f>'P&amp;L'!G39</f>
        <v/>
      </c>
      <c r="I13" s="92">
        <f>IFERROR('Cost sheet'!C79*Input!C22*(1-(6-1)/Input!C23),0)</f>
        <v/>
      </c>
      <c r="J13" s="267">
        <f>IFERROR('Cost sheet'!C79*Input!C22*(1-(7-1)/Input!C23),0)</f>
        <v/>
      </c>
    </row>
    <row r="14" ht="15.6" customHeight="1">
      <c r="B14" s="289" t="inlineStr">
        <is>
          <t>PBT</t>
        </is>
      </c>
      <c r="C14" s="190">
        <f>0</f>
        <v/>
      </c>
      <c r="D14" s="190">
        <f>D11-D12-D13</f>
        <v/>
      </c>
      <c r="E14" s="190">
        <f>E11-E12-E13</f>
        <v/>
      </c>
      <c r="F14" s="190">
        <f>F11-F12-F13</f>
        <v/>
      </c>
      <c r="G14" s="190">
        <f>G11-G12-G13</f>
        <v/>
      </c>
      <c r="H14" s="190">
        <f>H11-H12-H13</f>
        <v/>
      </c>
      <c r="I14" s="190">
        <f>I11-I12-I13</f>
        <v/>
      </c>
      <c r="J14" s="318">
        <f>J11-J12-J13</f>
        <v/>
      </c>
    </row>
    <row r="15" ht="15" customHeight="1">
      <c r="B15" s="61" t="inlineStr">
        <is>
          <t xml:space="preserve">    Less: Tax</t>
        </is>
      </c>
      <c r="C15" s="92">
        <f>0</f>
        <v/>
      </c>
      <c r="D15" s="92">
        <f>MAX(0,D14*Input!C21)</f>
        <v/>
      </c>
      <c r="E15" s="92">
        <f>MAX(0,E14*Input!C21)</f>
        <v/>
      </c>
      <c r="F15" s="92">
        <f>MAX(0,F14*Input!C21)</f>
        <v/>
      </c>
      <c r="G15" s="92">
        <f>MAX(0,G14*Input!C21)</f>
        <v/>
      </c>
      <c r="H15" s="92">
        <f>MAX(0,H14*Input!C21)</f>
        <v/>
      </c>
      <c r="I15" s="92">
        <f>MAX(0,I14*Input!C21)</f>
        <v/>
      </c>
      <c r="J15" s="267">
        <f>MAX(0,J14*Input!C21)</f>
        <v/>
      </c>
    </row>
    <row r="16" ht="15.6" customHeight="1">
      <c r="B16" s="137" t="inlineStr">
        <is>
          <t>PAT (After-Tax Profit)</t>
        </is>
      </c>
      <c r="C16" s="166">
        <f>0</f>
        <v/>
      </c>
      <c r="D16" s="166">
        <f>D14-D15</f>
        <v/>
      </c>
      <c r="E16" s="166">
        <f>E14-E15</f>
        <v/>
      </c>
      <c r="F16" s="166">
        <f>F14-F15</f>
        <v/>
      </c>
      <c r="G16" s="166">
        <f>G14-G15</f>
        <v/>
      </c>
      <c r="H16" s="166">
        <f>H14-H15</f>
        <v/>
      </c>
      <c r="I16" s="166">
        <f>I14-I15</f>
        <v/>
      </c>
      <c r="J16" s="177">
        <f>J14-J15</f>
        <v/>
      </c>
    </row>
    <row r="17" ht="15" customHeight="1">
      <c r="B17" s="61" t="inlineStr">
        <is>
          <t xml:space="preserve">    Add back: Depreciation (non-cash)</t>
        </is>
      </c>
      <c r="C17" s="92">
        <f>0</f>
        <v/>
      </c>
      <c r="D17" s="12">
        <f>D12</f>
        <v/>
      </c>
      <c r="E17" s="12">
        <f>E12</f>
        <v/>
      </c>
      <c r="F17" s="12">
        <f>F12</f>
        <v/>
      </c>
      <c r="G17" s="12">
        <f>G12</f>
        <v/>
      </c>
      <c r="H17" s="12">
        <f>H12</f>
        <v/>
      </c>
      <c r="I17" s="12">
        <f>I12</f>
        <v/>
      </c>
      <c r="J17" s="62">
        <f>J12</f>
        <v/>
      </c>
    </row>
    <row r="18" ht="15" customHeight="1">
      <c r="B18" s="61" t="inlineStr">
        <is>
          <t xml:space="preserve">    Terminal Value (Yr7 salvage: 10% of CAPEX)</t>
        </is>
      </c>
      <c r="C18" s="92">
        <f>0</f>
        <v/>
      </c>
      <c r="D18" s="92">
        <f>0</f>
        <v/>
      </c>
      <c r="E18" s="92">
        <f>0</f>
        <v/>
      </c>
      <c r="F18" s="92">
        <f>0</f>
        <v/>
      </c>
      <c r="G18" s="92">
        <f>0</f>
        <v/>
      </c>
      <c r="H18" s="92">
        <f>0</f>
        <v/>
      </c>
      <c r="I18" s="92">
        <f>0</f>
        <v/>
      </c>
      <c r="J18" s="319">
        <f>'Cost sheet'!C15*0.1</f>
        <v/>
      </c>
    </row>
    <row r="19" ht="16.2" customHeight="1" thickBot="1">
      <c r="B19" s="320" t="inlineStr">
        <is>
          <t>OPERATING CASH FLOW (OCF)</t>
        </is>
      </c>
      <c r="C19" s="225">
        <f>C7+C16+C17+C18</f>
        <v/>
      </c>
      <c r="D19" s="225">
        <f>D7+D16+D17+D18</f>
        <v/>
      </c>
      <c r="E19" s="225">
        <f>E7+E16+E17+E18</f>
        <v/>
      </c>
      <c r="F19" s="225">
        <f>F7+F16+F17+F18</f>
        <v/>
      </c>
      <c r="G19" s="225">
        <f>G7+G16+G17+G18</f>
        <v/>
      </c>
      <c r="H19" s="225">
        <f>H7+H16+H17+H18</f>
        <v/>
      </c>
      <c r="I19" s="225">
        <f>I7+I16+I17+I18</f>
        <v/>
      </c>
      <c r="J19" s="321">
        <f>J7+J16+J17+J18</f>
        <v/>
      </c>
    </row>
    <row r="20" ht="15" customHeight="1" thickBot="1">
      <c r="B20" s="282" t="n"/>
      <c r="C20" s="282" t="n"/>
      <c r="D20" s="282" t="n"/>
      <c r="E20" s="282" t="n"/>
      <c r="F20" s="282" t="n"/>
      <c r="G20" s="282" t="n"/>
      <c r="H20" s="282" t="n"/>
      <c r="I20" s="282" t="n"/>
      <c r="J20" s="282" t="n"/>
    </row>
    <row r="21" ht="17.4" customHeight="1">
      <c r="B21" s="539" t="inlineStr">
        <is>
          <t xml:space="preserve">  B. DISCOUNTED CASH FLOW</t>
        </is>
      </c>
      <c r="C21" s="594" t="n"/>
      <c r="D21" s="594" t="n"/>
      <c r="E21" s="594" t="n"/>
      <c r="F21" s="594" t="n"/>
      <c r="G21" s="594" t="n"/>
      <c r="H21" s="594" t="n"/>
      <c r="I21" s="594" t="n"/>
      <c r="J21" s="603" t="n"/>
    </row>
    <row r="22" ht="15.6" customHeight="1">
      <c r="B22" s="103" t="inlineStr">
        <is>
          <t>Item</t>
        </is>
      </c>
      <c r="C22" s="420" t="inlineStr">
        <is>
          <t>Yr 0</t>
        </is>
      </c>
      <c r="D22" s="420" t="inlineStr">
        <is>
          <t>Yr 1</t>
        </is>
      </c>
      <c r="E22" s="420" t="inlineStr">
        <is>
          <t>Yr 2</t>
        </is>
      </c>
      <c r="F22" s="420" t="inlineStr">
        <is>
          <t>Yr 3</t>
        </is>
      </c>
      <c r="G22" s="420" t="inlineStr">
        <is>
          <t>Yr 4</t>
        </is>
      </c>
      <c r="H22" s="420" t="inlineStr">
        <is>
          <t>Yr 5</t>
        </is>
      </c>
      <c r="I22" s="420" t="inlineStr">
        <is>
          <t>Yr 6</t>
        </is>
      </c>
      <c r="J22" s="104" t="inlineStr">
        <is>
          <t>Yr 7</t>
        </is>
      </c>
    </row>
    <row r="23" ht="15" customHeight="1">
      <c r="B23" s="61" t="inlineStr">
        <is>
          <t>Discount Factor (1/(1+WACC)^n)</t>
        </is>
      </c>
      <c r="C23" s="317">
        <f>1</f>
        <v/>
      </c>
      <c r="D23" s="317">
        <f>1/(1+Input!C20)^1</f>
        <v/>
      </c>
      <c r="E23" s="317">
        <f>1/(1+Input!C20)^2</f>
        <v/>
      </c>
      <c r="F23" s="317">
        <f>1/(1+Input!C20)^3</f>
        <v/>
      </c>
      <c r="G23" s="317">
        <f>1/(1+Input!C20)^4</f>
        <v/>
      </c>
      <c r="H23" s="317">
        <f>1/(1+Input!C20)^5</f>
        <v/>
      </c>
      <c r="I23" s="317">
        <f>1/(1+Input!C20)^6</f>
        <v/>
      </c>
      <c r="J23" s="322">
        <f>1/(1+Input!C20)^7</f>
        <v/>
      </c>
    </row>
    <row r="24" ht="15" customHeight="1">
      <c r="B24" s="61" t="inlineStr">
        <is>
          <t>PV of OCF</t>
        </is>
      </c>
      <c r="C24" s="92">
        <f>C19*C23</f>
        <v/>
      </c>
      <c r="D24" s="92">
        <f>D19*D23</f>
        <v/>
      </c>
      <c r="E24" s="92">
        <f>E19*E23</f>
        <v/>
      </c>
      <c r="F24" s="92">
        <f>F19*F23</f>
        <v/>
      </c>
      <c r="G24" s="92">
        <f>G19*G23</f>
        <v/>
      </c>
      <c r="H24" s="92">
        <f>H19*H23</f>
        <v/>
      </c>
      <c r="I24" s="92">
        <f>I19*I23</f>
        <v/>
      </c>
      <c r="J24" s="267">
        <f>J19*J23</f>
        <v/>
      </c>
    </row>
    <row r="25" ht="15.6" customHeight="1" thickBot="1">
      <c r="B25" s="48" t="inlineStr">
        <is>
          <t>Cumulative PV (running NPV)</t>
        </is>
      </c>
      <c r="C25" s="263">
        <f>C24</f>
        <v/>
      </c>
      <c r="D25" s="263">
        <f>C25+D24</f>
        <v/>
      </c>
      <c r="E25" s="263">
        <f>D25+E24</f>
        <v/>
      </c>
      <c r="F25" s="263">
        <f>E25+F24</f>
        <v/>
      </c>
      <c r="G25" s="263">
        <f>F25+G24</f>
        <v/>
      </c>
      <c r="H25" s="263">
        <f>G25+H24</f>
        <v/>
      </c>
      <c r="I25" s="263">
        <f>H25+I24</f>
        <v/>
      </c>
      <c r="J25" s="240">
        <f>I25+J24</f>
        <v/>
      </c>
    </row>
    <row r="26" ht="15" customHeight="1" thickBot="1">
      <c r="B26" s="282" t="n"/>
      <c r="C26" s="282" t="n"/>
      <c r="D26" s="282" t="n"/>
      <c r="E26" s="282" t="n"/>
      <c r="F26" s="282" t="n"/>
      <c r="G26" s="282" t="n"/>
      <c r="H26" s="222" t="n"/>
      <c r="I26" s="222" t="n"/>
      <c r="J26" s="222" t="n"/>
    </row>
    <row r="27" ht="17.4" customHeight="1">
      <c r="B27" s="613" t="inlineStr">
        <is>
          <t xml:space="preserve">  C. APPRAISAL METRICS</t>
        </is>
      </c>
      <c r="C27" s="597" t="n"/>
      <c r="D27" s="597" t="n"/>
      <c r="E27" s="597" t="n"/>
      <c r="F27" s="597" t="n"/>
      <c r="G27" s="598" t="n"/>
    </row>
    <row r="28" ht="15.6" customHeight="1">
      <c r="B28" s="382" t="inlineStr">
        <is>
          <t>Metric</t>
        </is>
      </c>
      <c r="C28" s="545" t="inlineStr">
        <is>
          <t>Value</t>
        </is>
      </c>
      <c r="D28" s="545" t="inlineStr">
        <is>
          <t>Formula Basis</t>
        </is>
      </c>
      <c r="E28" s="546" t="inlineStr">
        <is>
          <t>Interpretation</t>
        </is>
      </c>
      <c r="G28" s="615" t="n"/>
    </row>
    <row r="29" ht="15.6" customHeight="1">
      <c r="B29" s="81" t="inlineStr">
        <is>
          <t>Total CAPEX (Investment)</t>
        </is>
      </c>
      <c r="C29" s="362">
        <f>'Cost sheet'!C15</f>
        <v/>
      </c>
      <c r="D29" s="373">
        <f>'Cost sheet'!C15</f>
        <v/>
      </c>
      <c r="E29" s="548" t="inlineStr">
        <is>
          <t>Initial outlay — Year 0</t>
        </is>
      </c>
      <c r="G29" s="615" t="n"/>
    </row>
    <row r="30" ht="15.6" customHeight="1">
      <c r="B30" s="365" t="inlineStr">
        <is>
          <t>NPV  (Net Present Value)</t>
        </is>
      </c>
      <c r="C30" s="374">
        <f>C24+NPV(Input!C20,D19:J19)</f>
        <v/>
      </c>
      <c r="D30" s="380">
        <f>C24+NPV(Input!C20,D19:J19)</f>
        <v/>
      </c>
      <c r="E30" s="548" t="inlineStr">
        <is>
          <t>NPV&gt;0 = value-creating; NPV&lt;0 = destroys value</t>
        </is>
      </c>
      <c r="G30" s="615" t="n"/>
    </row>
    <row r="31" ht="15.6" customHeight="1">
      <c r="B31" s="365" t="inlineStr">
        <is>
          <t>IRR  (Internal Rate of Return)</t>
        </is>
      </c>
      <c r="C31" s="375">
        <f>IFERROR(IRR(C19:J19),"Loss-making")</f>
        <v/>
      </c>
      <c r="D31" s="376">
        <f>IFERROR(IRR(C19:J19),"Loss-making")</f>
        <v/>
      </c>
      <c r="E31" s="548">
        <f>"IRR &gt; WACC ("&amp;TEXT(Input!C20,"0.0%")&amp;") = accept project"</f>
        <v/>
      </c>
      <c r="G31" s="615" t="n"/>
    </row>
    <row r="32" ht="15.6" customHeight="1">
      <c r="B32" s="81" t="inlineStr">
        <is>
          <t>WACC (Discount / Hurdle Rate)</t>
        </is>
      </c>
      <c r="C32" s="377">
        <f>WACC!C20</f>
        <v/>
      </c>
      <c r="D32" s="378">
        <f>Input!C20</f>
        <v/>
      </c>
      <c r="E32" s="548" t="inlineStr">
        <is>
          <t>Minimum required return from Input!C20</t>
        </is>
      </c>
      <c r="G32" s="615" t="n"/>
    </row>
    <row r="33" ht="15.6" customHeight="1">
      <c r="B33" s="365" t="inlineStr">
        <is>
          <t>Profitability Index (PI)</t>
        </is>
      </c>
      <c r="C33" s="379">
        <f>IFERROR((C24+NPV(Input!C20,D19:J19)+'Cost sheet'!C15)/'Cost sheet'!C15,0)</f>
        <v/>
      </c>
      <c r="D33" s="380">
        <f>IFERROR((C24+NPV(Input!C20,D19:J19)+'Cost sheet'!C15)/'Cost sheet'!C15,0)</f>
        <v/>
      </c>
      <c r="E33" s="548" t="inlineStr">
        <is>
          <t>PI&gt;1 = accept; PI&lt;1 = reject</t>
        </is>
      </c>
      <c r="G33" s="615" t="n"/>
    </row>
    <row r="34" ht="15.6" customHeight="1">
      <c r="B34" s="81" t="inlineStr">
        <is>
          <t>ARR  (Accounting Rate of Return)</t>
        </is>
      </c>
      <c r="C34" s="381">
        <f>IFERROR(AVERAGE(D16:J16)/'Cost sheet'!C15,0)</f>
        <v/>
      </c>
      <c r="D34" s="376">
        <f>IFERROR(AVERAGE(D16:J16)/'Cost sheet'!C15,0)</f>
        <v/>
      </c>
      <c r="E34" s="548" t="inlineStr">
        <is>
          <t>Avg annual PAT / CAPEX</t>
        </is>
      </c>
      <c r="G34" s="615" t="n"/>
    </row>
    <row r="35" ht="15.6" customHeight="1">
      <c r="B35" s="81" t="inlineStr">
        <is>
          <t>5-Yr Cumulative PAT</t>
        </is>
      </c>
      <c r="C35" s="362">
        <f>'P&amp;L'!G45</f>
        <v/>
      </c>
      <c r="D35" s="373">
        <f>'P&amp;L'!G45</f>
        <v/>
      </c>
      <c r="E35" s="548" t="inlineStr">
        <is>
          <t>From P&amp;L Retained Earnings col G</t>
        </is>
      </c>
      <c r="G35" s="615" t="n"/>
    </row>
    <row r="36" ht="16.2" customHeight="1" thickBot="1">
      <c r="B36" s="84" t="inlineStr">
        <is>
          <t>5-Yr Net Revenue</t>
        </is>
      </c>
      <c r="C36" s="367">
        <f>'P&amp;L'!H10</f>
        <v/>
      </c>
      <c r="D36" s="383">
        <f>'P&amp;L'!H10</f>
        <v/>
      </c>
      <c r="E36" s="550" t="inlineStr">
        <is>
          <t>Total across 5 years</t>
        </is>
      </c>
      <c r="F36" s="600" t="n"/>
      <c r="G36" s="601" t="n"/>
    </row>
    <row r="37" ht="15" customHeight="1" thickBot="1">
      <c r="B37" s="282" t="n"/>
      <c r="C37" s="282" t="n"/>
      <c r="D37" s="282" t="n"/>
      <c r="E37" s="282" t="n"/>
      <c r="F37" s="282" t="n"/>
      <c r="G37" s="282" t="n"/>
      <c r="H37" s="296" t="n"/>
      <c r="I37" s="296" t="n"/>
      <c r="J37" s="296" t="n"/>
    </row>
    <row r="38" ht="17.4" customHeight="1">
      <c r="B38" s="613" t="inlineStr">
        <is>
          <t xml:space="preserve">  D. PAYBACK SCHEDULE</t>
        </is>
      </c>
      <c r="C38" s="597" t="n"/>
      <c r="D38" s="597" t="n"/>
      <c r="E38" s="597" t="n"/>
      <c r="F38" s="597" t="n"/>
      <c r="G38" s="598" t="n"/>
      <c r="H38" s="497" t="n"/>
      <c r="I38" s="597" t="n"/>
      <c r="J38" s="597" t="n"/>
    </row>
    <row r="39" ht="15.6" customHeight="1">
      <c r="B39" s="103" t="inlineStr">
        <is>
          <t>Year</t>
        </is>
      </c>
      <c r="C39" s="420" t="inlineStr">
        <is>
          <t>Yr 0</t>
        </is>
      </c>
      <c r="D39" s="420" t="inlineStr">
        <is>
          <t>Yr 1</t>
        </is>
      </c>
      <c r="E39" s="420" t="inlineStr">
        <is>
          <t>Yr 2</t>
        </is>
      </c>
      <c r="F39" s="420" t="inlineStr">
        <is>
          <t>Yr 3</t>
        </is>
      </c>
      <c r="G39" s="420" t="inlineStr">
        <is>
          <t>Yr 4</t>
        </is>
      </c>
      <c r="H39" s="420" t="inlineStr">
        <is>
          <t>Yr 5</t>
        </is>
      </c>
      <c r="I39" s="420" t="inlineStr">
        <is>
          <t>Yr 6</t>
        </is>
      </c>
      <c r="J39" s="104" t="inlineStr">
        <is>
          <t>Yr 7</t>
        </is>
      </c>
    </row>
    <row r="40" ht="15" customHeight="1">
      <c r="B40" s="61" t="inlineStr">
        <is>
          <t>Annual OCF</t>
        </is>
      </c>
      <c r="C40" s="12">
        <f>C19</f>
        <v/>
      </c>
      <c r="D40" s="12">
        <f>D19</f>
        <v/>
      </c>
      <c r="E40" s="12">
        <f>E19</f>
        <v/>
      </c>
      <c r="F40" s="12">
        <f>F19</f>
        <v/>
      </c>
      <c r="G40" s="12">
        <f>G19</f>
        <v/>
      </c>
      <c r="H40" s="12">
        <f>H19</f>
        <v/>
      </c>
      <c r="I40" s="12">
        <f>I19</f>
        <v/>
      </c>
      <c r="J40" s="62">
        <f>J19</f>
        <v/>
      </c>
    </row>
    <row r="41" ht="15.6" customHeight="1">
      <c r="B41" s="61" t="inlineStr">
        <is>
          <t>Cumulative OCF</t>
        </is>
      </c>
      <c r="C41" s="183">
        <f>C19</f>
        <v/>
      </c>
      <c r="D41" s="183">
        <f>C41+D19</f>
        <v/>
      </c>
      <c r="E41" s="183">
        <f>D41+E19</f>
        <v/>
      </c>
      <c r="F41" s="183">
        <f>E41+F19</f>
        <v/>
      </c>
      <c r="G41" s="183">
        <f>F41+G19</f>
        <v/>
      </c>
      <c r="H41" s="183">
        <f>G41+H19</f>
        <v/>
      </c>
      <c r="I41" s="183">
        <f>H41+I19</f>
        <v/>
      </c>
      <c r="J41" s="195">
        <f>I41+J19</f>
        <v/>
      </c>
    </row>
    <row r="42" ht="15" customHeight="1">
      <c r="B42" s="61" t="inlineStr">
        <is>
          <t>Cumulative Discounted OCF</t>
        </is>
      </c>
      <c r="C42" s="277">
        <f>C25</f>
        <v/>
      </c>
      <c r="D42" s="277">
        <f>D25</f>
        <v/>
      </c>
      <c r="E42" s="277">
        <f>E25</f>
        <v/>
      </c>
      <c r="F42" s="277">
        <f>F25</f>
        <v/>
      </c>
      <c r="G42" s="277">
        <f>G25</f>
        <v/>
      </c>
      <c r="H42" s="277">
        <f>H25</f>
        <v/>
      </c>
      <c r="I42" s="277">
        <f>I25</f>
        <v/>
      </c>
      <c r="J42" s="319">
        <f>J25</f>
        <v/>
      </c>
    </row>
    <row r="43" ht="15.6" customHeight="1" thickBot="1">
      <c r="B43" s="48" t="inlineStr">
        <is>
          <t>Investment Recovered? (Y/N)</t>
        </is>
      </c>
      <c r="C43" s="162">
        <f>IF(C41&gt;=0,"✓ Yes","✗ No")</f>
        <v/>
      </c>
      <c r="D43" s="323">
        <f>IF(D41&gt;=0,"✓ Yes","✗ No")</f>
        <v/>
      </c>
      <c r="E43" s="323">
        <f>IF(E41&gt;=0,"✓ Yes","✗ No")</f>
        <v/>
      </c>
      <c r="F43" s="323">
        <f>IF(F41&gt;=0,"✓ Yes","✗ No")</f>
        <v/>
      </c>
      <c r="G43" s="323">
        <f>IF(G41&gt;=0,"✓ Yes","✗ No")</f>
        <v/>
      </c>
      <c r="H43" s="323">
        <f>IF(H41&gt;=0,"✓ Yes","✗ No")</f>
        <v/>
      </c>
      <c r="I43" s="323">
        <f>IF(I41&gt;=0,"✓ Yes","✗ No")</f>
        <v/>
      </c>
      <c r="J43" s="215">
        <f>IF(J41&gt;=0,"✓ Yes","✗ No")</f>
        <v/>
      </c>
    </row>
    <row r="44">
      <c r="B44" s="652" t="inlineStr">
        <is>
          <t>Note: This appraisal reflects the OWNED (property purchase) scenario currently active in Input!C6 — the higher-capital, higher-risk pathway. IRR shows "Loss-making" because cumulative discounted cash flow never turns positive within the 7-year horizon under Owned.</t>
        </is>
      </c>
    </row>
    <row r="45">
      <c r="B45" s="652" t="inlineStr">
        <is>
          <t>See the Scenario tab for the RENT pathway (far lower CAPEX, positive EBITDA) — the model's own recommendation engine (Scenario!C50) favours Rent. Switch Input!C6 to "Rent" to flow the lower-risk path through this entire appraisal.</t>
        </is>
      </c>
    </row>
    <row r="46" ht="15" customHeight="1" thickBot="1"/>
    <row r="47" ht="17.4" customHeight="1">
      <c r="B47" s="593" t="inlineStr">
        <is>
          <t>Net Cash Flow Trend Chart</t>
        </is>
      </c>
      <c r="C47" s="594" t="n"/>
      <c r="D47" s="594" t="n"/>
      <c r="E47" s="594" t="n"/>
      <c r="F47" s="594" t="n"/>
      <c r="G47" s="594" t="n"/>
      <c r="H47" s="595" t="n"/>
    </row>
    <row r="48" ht="15.6" customHeight="1">
      <c r="B48" s="103" t="inlineStr">
        <is>
          <t>Year</t>
        </is>
      </c>
      <c r="C48" s="420" t="inlineStr">
        <is>
          <t>Yr 0</t>
        </is>
      </c>
      <c r="D48" s="420" t="inlineStr">
        <is>
          <t>Yr 1</t>
        </is>
      </c>
      <c r="E48" s="420" t="inlineStr">
        <is>
          <t>Yr 2</t>
        </is>
      </c>
      <c r="F48" s="420" t="inlineStr">
        <is>
          <t>Yr 3</t>
        </is>
      </c>
      <c r="G48" s="420" t="inlineStr">
        <is>
          <t>Yr 4</t>
        </is>
      </c>
      <c r="H48" s="104" t="inlineStr">
        <is>
          <t>Yr 5</t>
        </is>
      </c>
    </row>
    <row r="49" ht="15.6" customHeight="1" thickBot="1">
      <c r="B49" s="48" t="inlineStr">
        <is>
          <t xml:space="preserve">Net Cash Flow </t>
        </is>
      </c>
      <c r="C49" s="263">
        <f>C19</f>
        <v/>
      </c>
      <c r="D49" s="263">
        <f>D19</f>
        <v/>
      </c>
      <c r="E49" s="263">
        <f>E19</f>
        <v/>
      </c>
      <c r="F49" s="263">
        <f>F19</f>
        <v/>
      </c>
      <c r="G49" s="263">
        <f>G19</f>
        <v/>
      </c>
      <c r="H49" s="240">
        <f>H19</f>
        <v/>
      </c>
    </row>
  </sheetData>
  <mergeCells count="19">
    <mergeCell ref="E28:G28"/>
    <mergeCell ref="E31:G31"/>
    <mergeCell ref="E34:G34"/>
    <mergeCell ref="E30:G30"/>
    <mergeCell ref="B44:J44"/>
    <mergeCell ref="B38:G38"/>
    <mergeCell ref="E36:G36"/>
    <mergeCell ref="B47:H47"/>
    <mergeCell ref="E32:G32"/>
    <mergeCell ref="B5:J5"/>
    <mergeCell ref="B45:J45"/>
    <mergeCell ref="H38:J38"/>
    <mergeCell ref="B3:J3"/>
    <mergeCell ref="E33:G33"/>
    <mergeCell ref="B27:G27"/>
    <mergeCell ref="E35:G35"/>
    <mergeCell ref="E29:G29"/>
    <mergeCell ref="B21:J21"/>
    <mergeCell ref="B2:J2"/>
  </mergeCells>
  <hyperlinks>
    <hyperlink ref="B1" location="'Navigation Tab'!A1" display="Navigation Tab"/>
  </hyperlinks>
  <pageMargins left="0.3" right="0.3" top="0.3" bottom="0.3" header="0.5" footer="0.5"/>
  <pageSetup orientation="landscape" fitToHeight="0" fitToWidth="1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1:D20"/>
  <sheetViews>
    <sheetView showGridLines="0" zoomScale="145" zoomScaleNormal="145" workbookViewId="0">
      <selection activeCell="B1" sqref="B1"/>
    </sheetView>
  </sheetViews>
  <sheetFormatPr baseColWidth="8" defaultRowHeight="14.4"/>
  <cols>
    <col width="6.33203125" customWidth="1" style="332" min="1" max="1"/>
    <col width="51.44140625" bestFit="1" customWidth="1" style="332" min="2" max="2"/>
    <col width="15.6640625" customWidth="1" style="332" min="3" max="3"/>
    <col width="55" customWidth="1" style="332" min="4" max="16384"/>
  </cols>
  <sheetData>
    <row r="1" ht="21" customHeight="1">
      <c r="B1" s="384" t="inlineStr">
        <is>
          <t>Navigation Tab</t>
        </is>
      </c>
    </row>
    <row r="2" ht="21" customHeight="1">
      <c r="B2" s="551" t="inlineStr">
        <is>
          <t>WACC &amp; DISCOUNT RATE CALCULATION</t>
        </is>
      </c>
    </row>
    <row r="4" ht="15" customHeight="1" thickBot="1"/>
    <row r="5" ht="18" customHeight="1">
      <c r="B5" s="340" t="inlineStr">
        <is>
          <t xml:space="preserve">Particular </t>
        </is>
      </c>
      <c r="C5" s="341" t="inlineStr">
        <is>
          <t>Value</t>
        </is>
      </c>
      <c r="D5" s="631" t="inlineStr">
        <is>
          <t>Notes</t>
        </is>
      </c>
    </row>
    <row r="6">
      <c r="B6" s="333" t="inlineStr">
        <is>
          <t>Cost of Debt</t>
        </is>
      </c>
      <c r="C6" s="661">
        <f>Input!C22</f>
        <v/>
      </c>
      <c r="D6" s="633" t="inlineStr">
        <is>
          <t>Term loan rate assumption (Input!C22) — benchmark against prevailing SME/CRE loan MCLR + spread before finalizing.</t>
        </is>
      </c>
    </row>
    <row r="7">
      <c r="B7" s="333" t="inlineStr">
        <is>
          <t>Tax Rate</t>
        </is>
      </c>
      <c r="C7" s="661">
        <f>Input!C21</f>
        <v/>
      </c>
      <c r="D7" s="633" t="inlineStr">
        <is>
          <t>India corporate tax rate (Input!C21).</t>
        </is>
      </c>
    </row>
    <row r="8">
      <c r="B8" s="333" t="n"/>
      <c r="C8" s="634" t="n"/>
      <c r="D8" s="635" t="n"/>
    </row>
    <row r="9">
      <c r="B9" s="636" t="inlineStr">
        <is>
          <t xml:space="preserve">  COST OF EQUITY — CAPM DERIVATION (Rf + β × ERP)</t>
        </is>
      </c>
    </row>
    <row r="10" ht="15" customHeight="1" thickBot="1">
      <c r="B10" s="334" t="inlineStr">
        <is>
          <t>Risk-free Rate (10-yr Govt. of India G-Sec)</t>
        </is>
      </c>
      <c r="C10" s="662" t="n">
        <v>0.07000000000000001</v>
      </c>
      <c r="D10" s="633" t="inlineStr">
        <is>
          <t>RBI G-Sec benchmark yield, ~7.0% (illustrative — update to the prevailing yield at time of use).</t>
        </is>
      </c>
    </row>
    <row r="11" ht="15" customHeight="1" thickBot="1">
      <c r="B11" s="635" t="inlineStr">
        <is>
          <t>Beta (comparable listed real estate / co-working cos)</t>
        </is>
      </c>
      <c r="C11" s="663" t="n">
        <v>1</v>
      </c>
      <c r="D11" s="633" t="inlineStr">
        <is>
          <t>Proxy beta from listed commercial real estate / workspace comparables; ~0.9–1.1 range is typical for this sector.</t>
        </is>
      </c>
    </row>
    <row r="12">
      <c r="B12" s="639" t="inlineStr">
        <is>
          <t>Equity Risk Premium — India</t>
        </is>
      </c>
      <c r="C12" s="664" t="n">
        <v>0.065</v>
      </c>
      <c r="D12" s="633" t="inlineStr">
        <is>
          <t>India equity risk premium, ~6–7% (in line with published country-risk-premium estimates, e.g. Damodaran).</t>
        </is>
      </c>
    </row>
    <row r="13" ht="15" customHeight="1" thickBot="1">
      <c r="B13" s="337" t="inlineStr">
        <is>
          <t>Cost of Equity  (Rf + β × ERP)</t>
        </is>
      </c>
      <c r="C13" s="641">
        <f>C10+(C11*C12)</f>
        <v/>
      </c>
      <c r="D13" s="633" t="inlineStr">
        <is>
          <t>CAPM formula — replaces the previous flat 15% assumption with a derived, source-linked figure.</t>
        </is>
      </c>
    </row>
    <row r="15">
      <c r="B15" s="642" t="inlineStr">
        <is>
          <t xml:space="preserve">  CAPITAL STRUCTURE</t>
        </is>
      </c>
    </row>
    <row r="16">
      <c r="B16" s="635" t="inlineStr">
        <is>
          <t>Debt %</t>
        </is>
      </c>
      <c r="C16" s="665" t="n">
        <v>0.6</v>
      </c>
      <c r="D16" s="633" t="inlineStr">
        <is>
          <t>Target capital structure — matches Loan-to-Cost Ratio in Assumptions!C22 / D22.</t>
        </is>
      </c>
    </row>
    <row r="17">
      <c r="B17" s="635" t="inlineStr">
        <is>
          <t>Equity %</t>
        </is>
      </c>
      <c r="C17" s="666">
        <f>1-C16</f>
        <v/>
      </c>
      <c r="D17" s="633" t="inlineStr">
        <is>
          <t>Equals 1 minus Debt % (kept as a formula so it can never drift out of sync with Debt %).</t>
        </is>
      </c>
    </row>
    <row r="19">
      <c r="B19" s="642" t="inlineStr">
        <is>
          <t>After-tax Cost of Debt</t>
        </is>
      </c>
      <c r="C19" s="644">
        <f>C6*(1-C7)</f>
        <v/>
      </c>
    </row>
    <row r="20">
      <c r="B20" s="642" t="inlineStr">
        <is>
          <t>Final WACC</t>
        </is>
      </c>
      <c r="C20" s="644">
        <f>(C19*C16)+(C13*C17)</f>
        <v/>
      </c>
      <c r="D20" s="633" t="inlineStr">
        <is>
          <t>Weighted Average Cost of Capital used as the discount rate throughout the model (feeds Input!C20).</t>
        </is>
      </c>
    </row>
  </sheetData>
  <mergeCells count="3">
    <mergeCell ref="B15:D15"/>
    <mergeCell ref="B9:D9"/>
    <mergeCell ref="B2:C2"/>
  </mergeCells>
  <hyperlinks>
    <hyperlink ref="B1" location="'Navigation Tab'!A1" display="Navigation Tab"/>
  </hyperlinks>
  <pageMargins left="0.3" right="0.3" top="0.3" bottom="0.3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 codeName="Sheet15">
    <outlinePr summaryBelow="1" summaryRight="1"/>
    <pageSetUpPr fitToPage="1"/>
  </sheetPr>
  <dimension ref="B1:F60"/>
  <sheetViews>
    <sheetView showGridLines="0" zoomScaleNormal="100" workbookViewId="0">
      <selection activeCell="B1" sqref="B1"/>
    </sheetView>
  </sheetViews>
  <sheetFormatPr baseColWidth="8" defaultColWidth="8.6640625" defaultRowHeight="14.4"/>
  <cols>
    <col width="3" customWidth="1" min="1" max="1"/>
    <col width="34.109375" bestFit="1" customWidth="1" min="2" max="2"/>
    <col width="27.44140625" customWidth="1" min="3" max="3"/>
    <col width="27.77734375" customWidth="1" min="4" max="4"/>
    <col width="23.5546875" customWidth="1" min="5" max="5"/>
    <col width="27.6640625" customWidth="1" min="6" max="6"/>
  </cols>
  <sheetData>
    <row r="1" ht="21" customHeight="1">
      <c r="B1" s="384" t="inlineStr">
        <is>
          <t>Navigation Tab</t>
        </is>
      </c>
    </row>
    <row r="2" ht="21" customHeight="1">
      <c r="B2" s="525" t="inlineStr">
        <is>
          <t>SCENARIO COMPARISON — OWNED vs. RENT</t>
        </is>
      </c>
    </row>
    <row r="3" ht="15.6" customHeight="1">
      <c r="B3" s="433" t="inlineStr">
        <is>
          <t>Owned: current model. Rent: recalculated using Assumptions column D values. All formulas linked.</t>
        </is>
      </c>
    </row>
    <row r="4" ht="15" customHeight="1" thickBot="1"/>
    <row r="5" ht="17.4" customHeight="1">
      <c r="B5" s="539" t="inlineStr">
        <is>
          <t xml:space="preserve">  SCENARIO COMPARISON</t>
        </is>
      </c>
      <c r="C5" s="594" t="n"/>
      <c r="D5" s="594" t="n"/>
      <c r="E5" s="594" t="n"/>
      <c r="F5" s="603" t="n"/>
    </row>
    <row r="6" ht="31.2" customHeight="1">
      <c r="B6" s="103" t="inlineStr">
        <is>
          <t>Metric</t>
        </is>
      </c>
      <c r="C6" s="324" t="inlineStr">
        <is>
          <t>OWNED Scenario</t>
        </is>
      </c>
      <c r="D6" s="325" t="inlineStr">
        <is>
          <t>RENT Scenario</t>
        </is>
      </c>
      <c r="E6" s="270" t="inlineStr">
        <is>
          <t>Variance (Rent−Owned)</t>
        </is>
      </c>
      <c r="F6" s="331" t="inlineStr">
        <is>
          <t>% Difference</t>
        </is>
      </c>
    </row>
    <row r="7" ht="17.4" customHeight="1">
      <c r="B7" s="542" t="inlineStr">
        <is>
          <t xml:space="preserve">  CAPEX</t>
        </is>
      </c>
      <c r="C7" s="585" t="n"/>
      <c r="D7" s="585" t="n"/>
      <c r="E7" s="585" t="n"/>
      <c r="F7" s="586" t="n"/>
    </row>
    <row r="8" ht="15.6" customHeight="1">
      <c r="B8" s="307" t="inlineStr">
        <is>
          <t>Total CAPEX</t>
        </is>
      </c>
      <c r="C8" s="189">
        <f>'Cost sheet'!C15</f>
        <v/>
      </c>
      <c r="D8" s="186">
        <f>Input!C12*Assumptions!D11+Input!C10*Assumptions!D12+Assumptions!D13*100000+Assumptions!D14*100000+Assumptions!D15*100000+Assumptions!D16*100000+Input!C12*Assumptions!D8*Assumptions!D10</f>
        <v/>
      </c>
      <c r="E8" s="12">
        <f>D8-C8</f>
        <v/>
      </c>
      <c r="F8" s="256">
        <f>IFERROR((D8-C8)/ABS(C8),0)</f>
        <v/>
      </c>
    </row>
    <row r="9" ht="15" customHeight="1">
      <c r="B9" s="61" t="inlineStr">
        <is>
          <t>Property Purchase</t>
        </is>
      </c>
      <c r="C9" s="92">
        <f>Input!C12*Assumptions!C9</f>
        <v/>
      </c>
      <c r="D9" s="92">
        <f>0</f>
        <v/>
      </c>
      <c r="E9" s="12">
        <f>D9-C9</f>
        <v/>
      </c>
      <c r="F9" s="256">
        <f>IFERROR((D9-C9)/ABS(C9),0)</f>
        <v/>
      </c>
    </row>
    <row r="10" ht="15" customHeight="1">
      <c r="B10" s="61" t="inlineStr">
        <is>
          <t>Fit-out &amp; Furniture</t>
        </is>
      </c>
      <c r="C10" s="92">
        <f>'Cost sheet'!C7+'Cost sheet'!C8</f>
        <v/>
      </c>
      <c r="D10" s="92">
        <f>Input!C12*Assumptions!D11+Input!C10*Assumptions!D12</f>
        <v/>
      </c>
      <c r="E10" s="12">
        <f>D10-C10</f>
        <v/>
      </c>
      <c r="F10" s="256">
        <f>IFERROR((D10-C10)/ABS(C10),0)</f>
        <v/>
      </c>
    </row>
    <row r="11" ht="15" customHeight="1">
      <c r="B11" s="61" t="inlineStr">
        <is>
          <t>IT+Electrical+Brand+Misc</t>
        </is>
      </c>
      <c r="C11" s="92">
        <f>'Cost sheet'!C9+'Cost sheet'!C10+'Cost sheet'!C11+'Cost sheet'!C12</f>
        <v/>
      </c>
      <c r="D11" s="92">
        <f>Assumptions!D13*100000+Assumptions!D14*100000+Assumptions!D15*100000+Assumptions!D16*100000</f>
        <v/>
      </c>
      <c r="E11" s="12">
        <f>D11-C11</f>
        <v/>
      </c>
      <c r="F11" s="256">
        <f>IFERROR((D11-C11)/ABS(C11),0)</f>
        <v/>
      </c>
    </row>
    <row r="12" ht="15" customHeight="1">
      <c r="B12" s="61" t="inlineStr">
        <is>
          <t>Security Deposit</t>
        </is>
      </c>
      <c r="C12" s="92">
        <f>0</f>
        <v/>
      </c>
      <c r="D12" s="92">
        <f>Input!C12*Assumptions!D8*Assumptions!D10</f>
        <v/>
      </c>
      <c r="E12" s="12">
        <f>D12-C12</f>
        <v/>
      </c>
      <c r="F12" s="256">
        <f>IFERROR((D12-C12)/ABS(C12),0)</f>
        <v/>
      </c>
    </row>
    <row r="13" ht="15" customHeight="1">
      <c r="B13" s="61" t="inlineStr">
        <is>
          <t>Equity Required (40%)</t>
        </is>
      </c>
      <c r="C13" s="92">
        <f>'Cost sheet'!C84</f>
        <v/>
      </c>
      <c r="D13" s="92">
        <f>(Input!C12*Assumptions!D11+Input!C10*Assumptions!D12+Assumptions!D13*100000+Assumptions!D14*100000+Assumptions!D15*100000+Assumptions!D16*100000+Input!C12*Assumptions!D8*Assumptions!D10)*(1-Assumptions!D22)</f>
        <v/>
      </c>
      <c r="E13" s="12">
        <f>D13-C13</f>
        <v/>
      </c>
      <c r="F13" s="256">
        <f>IFERROR((D13-C13)/ABS(C13),0)</f>
        <v/>
      </c>
    </row>
    <row r="14" ht="15.6" customHeight="1" thickBot="1">
      <c r="B14" s="48" t="inlineStr">
        <is>
          <t>Loan Required (60%)</t>
        </is>
      </c>
      <c r="C14" s="106">
        <f>'Cost sheet'!C79</f>
        <v/>
      </c>
      <c r="D14" s="106">
        <f>(Input!C12*Assumptions!D11+Input!C10*Assumptions!D12+Assumptions!D13*100000+Assumptions!D14*100000+Assumptions!D15*100000+Assumptions!D16*100000+Input!C12*Assumptions!D8*Assumptions!D10)*Assumptions!D22</f>
        <v/>
      </c>
      <c r="E14" s="263">
        <f>D14-C14</f>
        <v/>
      </c>
      <c r="F14" s="287">
        <f>IFERROR((D14-C14)/ABS(C14),0)</f>
        <v/>
      </c>
    </row>
    <row r="15" ht="15" customHeight="1" thickBot="1">
      <c r="B15" s="282" t="n"/>
      <c r="C15" s="282" t="n"/>
      <c r="D15" s="282" t="n"/>
      <c r="E15" s="282" t="n"/>
      <c r="F15" s="282" t="n"/>
    </row>
    <row r="16" ht="17.4" customHeight="1">
      <c r="B16" s="539" t="inlineStr">
        <is>
          <t xml:space="preserve">  MONTHLY OPERATING COSTS</t>
        </is>
      </c>
      <c r="C16" s="594" t="n"/>
      <c r="D16" s="594" t="n"/>
      <c r="E16" s="594" t="n"/>
      <c r="F16" s="603" t="n"/>
    </row>
    <row r="17" ht="15.6" customHeight="1">
      <c r="B17" s="307" t="inlineStr">
        <is>
          <t>Rent / EMI (monthly)</t>
        </is>
      </c>
      <c r="C17" s="189">
        <f>'Cost sheet'!C20</f>
        <v/>
      </c>
      <c r="D17" s="186">
        <f>Input!C12*Assumptions!D8</f>
        <v/>
      </c>
      <c r="E17" s="12">
        <f>D17-C17</f>
        <v/>
      </c>
      <c r="F17" s="256">
        <f>IFERROR((D17-C17)/ABS(C17),0)</f>
        <v/>
      </c>
    </row>
    <row r="18" ht="15" customHeight="1">
      <c r="B18" s="61" t="inlineStr">
        <is>
          <t>Total Salaries</t>
        </is>
      </c>
      <c r="C18" s="92">
        <f>'Cost sheet'!C21+'Cost sheet'!C22+'Cost sheet'!C23+'Cost sheet'!C24+'Cost sheet'!C25+'Cost sheet'!C26</f>
        <v/>
      </c>
      <c r="D18" s="92">
        <f>Assumptions!D26+Assumptions!D27*2+Assumptions!D28+Assumptions!D29*3+Assumptions!D30+Assumptions!D31</f>
        <v/>
      </c>
      <c r="E18" s="12">
        <f>D18-C18</f>
        <v/>
      </c>
      <c r="F18" s="256">
        <f>IFERROR((D18-C18)/ABS(C18),0)</f>
        <v/>
      </c>
    </row>
    <row r="19" ht="15" customHeight="1">
      <c r="B19" s="61" t="inlineStr">
        <is>
          <t>Utilities &amp; Overheads</t>
        </is>
      </c>
      <c r="C19" s="92">
        <f>'Cost sheet'!C27+'Cost sheet'!C28+'Cost sheet'!C29+'Cost sheet'!C30+'Cost sheet'!C31+'Cost sheet'!C32+'Cost sheet'!C33</f>
        <v/>
      </c>
      <c r="D19" s="92">
        <f>Assumptions!D34+Assumptions!D35+Assumptions!D36+Assumptions!D37+Assumptions!D38+Assumptions!D39+Assumptions!D40</f>
        <v/>
      </c>
      <c r="E19" s="12">
        <f>D19-C19</f>
        <v/>
      </c>
      <c r="F19" s="256">
        <f>IFERROR((D19-C19)/ABS(C19),0)</f>
        <v/>
      </c>
    </row>
    <row r="20" ht="15" customHeight="1">
      <c r="B20" s="61" t="inlineStr">
        <is>
          <t>Variable Cost/month</t>
        </is>
      </c>
      <c r="C20" s="92">
        <f>'Cost sheet'!C49*'Cost sheet'!C43</f>
        <v/>
      </c>
      <c r="D20" s="92">
        <f>Input!C10*Input!C13*'Cost sheet'!C43</f>
        <v/>
      </c>
      <c r="E20" s="12">
        <f>D20-C20</f>
        <v/>
      </c>
      <c r="F20" s="256">
        <f>IFERROR((D20-C20)/ABS(C20),0)</f>
        <v/>
      </c>
    </row>
    <row r="21" ht="16.2" customHeight="1" thickBot="1">
      <c r="B21" s="235" t="inlineStr">
        <is>
          <t>TOTAL MONTHLY COST</t>
        </is>
      </c>
      <c r="C21" s="330">
        <f>'Cost sheet'!C53</f>
        <v/>
      </c>
      <c r="D21" s="236">
        <f>(Input!C12*Assumptions!D8+Assumptions!D26+Assumptions!D27*2+Assumptions!D28+Assumptions!D29*3+Assumptions!D30+Assumptions!D31+Assumptions!D34+Assumptions!D35+Assumptions!D36+Assumptions!D37+Assumptions!D38+Assumptions!D39+Assumptions!D40)+'Cost sheet'!C43*(Input!C10*Input!C13)</f>
        <v/>
      </c>
      <c r="E21" s="263">
        <f>D21-C21</f>
        <v/>
      </c>
      <c r="F21" s="287">
        <f>IFERROR((D21-C21)/ABS(C21),0)</f>
        <v/>
      </c>
    </row>
    <row r="22" ht="15" customHeight="1" thickBot="1">
      <c r="B22" s="282" t="n"/>
      <c r="C22" s="282" t="n"/>
      <c r="D22" s="282" t="n"/>
      <c r="E22" s="282" t="n"/>
      <c r="F22" s="282" t="n"/>
    </row>
    <row r="23" ht="17.4" customHeight="1">
      <c r="B23" s="539" t="inlineStr">
        <is>
          <t xml:space="preserve">  P&amp;L — YEAR 1</t>
        </is>
      </c>
      <c r="C23" s="594" t="n"/>
      <c r="D23" s="594" t="n"/>
      <c r="E23" s="594" t="n"/>
      <c r="F23" s="603" t="n"/>
    </row>
    <row r="24" ht="15" customHeight="1">
      <c r="B24" s="61" t="inlineStr">
        <is>
          <t>Gross Revenue (Yr 1)</t>
        </is>
      </c>
      <c r="C24" s="92">
        <f>'P&amp;L'!C8</f>
        <v/>
      </c>
      <c r="D24" s="92">
        <f>'Revenue Model'!C14</f>
        <v/>
      </c>
      <c r="E24" s="12">
        <f>D24-C24</f>
        <v/>
      </c>
      <c r="F24" s="256">
        <f>IFERROR((D24-C24)/ABS(C24),0)</f>
        <v/>
      </c>
    </row>
    <row r="25" ht="15" customHeight="1">
      <c r="B25" s="61" t="inlineStr">
        <is>
          <t>Net Revenue (−5% vacancy)</t>
        </is>
      </c>
      <c r="C25" s="92">
        <f>'P&amp;L'!C10</f>
        <v/>
      </c>
      <c r="D25" s="92">
        <f>'Revenue Model'!C14*0.95</f>
        <v/>
      </c>
      <c r="E25" s="12">
        <f>D25-C25</f>
        <v/>
      </c>
      <c r="F25" s="256">
        <f>IFERROR((D25-C25)/ABS(C25),0)</f>
        <v/>
      </c>
    </row>
    <row r="26" ht="15" customHeight="1">
      <c r="B26" s="61" t="inlineStr">
        <is>
          <t>Variable Costs (annual)</t>
        </is>
      </c>
      <c r="C26" s="92">
        <f>'P&amp;L'!C13</f>
        <v/>
      </c>
      <c r="D26" s="92">
        <f>'Cost sheet'!C43*'Cost sheet'!C49*12</f>
        <v/>
      </c>
      <c r="E26" s="12">
        <f>D26-C26</f>
        <v/>
      </c>
      <c r="F26" s="256">
        <f>IFERROR((D26-C26)/ABS(C26),0)</f>
        <v/>
      </c>
    </row>
    <row r="27" ht="15" customHeight="1">
      <c r="B27" s="61" t="inlineStr">
        <is>
          <t>Gross Profit</t>
        </is>
      </c>
      <c r="C27" s="92">
        <f>'P&amp;L'!C14</f>
        <v/>
      </c>
      <c r="D27" s="92">
        <f>'Revenue Model'!C14*0.95-'Cost sheet'!C43*'Cost sheet'!C49*12</f>
        <v/>
      </c>
      <c r="E27" s="12">
        <f>D27-C27</f>
        <v/>
      </c>
      <c r="F27" s="256">
        <f>IFERROR((D27-C27)/ABS(C27),0)</f>
        <v/>
      </c>
    </row>
    <row r="28" ht="15" customHeight="1">
      <c r="B28" s="61" t="inlineStr">
        <is>
          <t>Total Fixed OpEx (annual)</t>
        </is>
      </c>
      <c r="C28" s="92">
        <f>'P&amp;L'!C24</f>
        <v/>
      </c>
      <c r="D28" s="92">
        <f>(Input!C12*Assumptions!D8+Assumptions!D26+Assumptions!D27*2+Assumptions!D28+Assumptions!D29*3+Assumptions!D30+Assumptions!D31+Assumptions!D34+Assumptions!D35+Assumptions!D36+Assumptions!D37+Assumptions!D38+Assumptions!D39+Assumptions!D40)*12</f>
        <v/>
      </c>
      <c r="E28" s="12">
        <f>D28-C28</f>
        <v/>
      </c>
      <c r="F28" s="256">
        <f>IFERROR((D28-C28)/ABS(C28),0)</f>
        <v/>
      </c>
    </row>
    <row r="29" ht="15.6" customHeight="1">
      <c r="B29" s="307" t="inlineStr">
        <is>
          <t>EBITDA</t>
        </is>
      </c>
      <c r="C29" s="189">
        <f>'P&amp;L'!C26</f>
        <v/>
      </c>
      <c r="D29" s="191">
        <f>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</f>
        <v/>
      </c>
      <c r="E29" s="12">
        <f>D29-C29</f>
        <v/>
      </c>
      <c r="F29" s="256">
        <f>IFERROR((D29-C29)/ABS(C29),0)</f>
        <v/>
      </c>
    </row>
    <row r="30" ht="15" customHeight="1">
      <c r="B30" s="61" t="inlineStr">
        <is>
          <t>Total Depreciation</t>
        </is>
      </c>
      <c r="C30" s="92">
        <f>'P&amp;L'!C33</f>
        <v/>
      </c>
      <c r="D30" s="92">
        <f>'P&amp;L'!C33</f>
        <v/>
      </c>
      <c r="E30" s="12">
        <f>D30-C30</f>
        <v/>
      </c>
      <c r="F30" s="256">
        <f>IFERROR((D30-C30)/ABS(C30),0)</f>
        <v/>
      </c>
    </row>
    <row r="31" ht="15" customHeight="1">
      <c r="B31" s="61" t="inlineStr">
        <is>
          <t>EBIT</t>
        </is>
      </c>
      <c r="C31" s="92">
        <f>'P&amp;L'!C35</f>
        <v/>
      </c>
      <c r="D31" s="92">
        <f>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</f>
        <v/>
      </c>
      <c r="E31" s="12">
        <f>D31-C31</f>
        <v/>
      </c>
      <c r="F31" s="256">
        <f>IFERROR((D31-C31)/ABS(C31),0)</f>
        <v/>
      </c>
    </row>
    <row r="32" ht="15" customHeight="1">
      <c r="B32" s="61" t="inlineStr">
        <is>
          <t>Interest Expense (annual)</t>
        </is>
      </c>
      <c r="C32" s="92">
        <f>'P&amp;L'!C39</f>
        <v/>
      </c>
      <c r="D32" s="92">
        <f>(Input!C12*Assumptions!D11+Input!C10*Assumptions!D12+Assumptions!D13*100000+Assumptions!D14*100000+Assumptions!D15*100000+Assumptions!D16*100000+Input!C12*Assumptions!D8*Assumptions!D10)*Assumptions!D22*Input!C22</f>
        <v/>
      </c>
      <c r="E32" s="12">
        <f>D32-C32</f>
        <v/>
      </c>
      <c r="F32" s="256">
        <f>IFERROR((D32-C32)/ABS(C32),0)</f>
        <v/>
      </c>
    </row>
    <row r="33" ht="15" customHeight="1">
      <c r="B33" s="61" t="inlineStr">
        <is>
          <t>PBT</t>
        </is>
      </c>
      <c r="C33" s="92">
        <f>'P&amp;L'!C41</f>
        <v/>
      </c>
      <c r="D33" s="92">
        <f>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</f>
        <v/>
      </c>
      <c r="E33" s="12">
        <f>D33-C33</f>
        <v/>
      </c>
      <c r="F33" s="256">
        <f>IFERROR((D33-C33)/ABS(C33),0)</f>
        <v/>
      </c>
    </row>
    <row r="34" ht="15" customHeight="1">
      <c r="B34" s="61" t="inlineStr">
        <is>
          <t>Tax</t>
        </is>
      </c>
      <c r="C34" s="92">
        <f>'P&amp;L'!C42</f>
        <v/>
      </c>
      <c r="D34" s="92">
        <f>MAX(0,((('Revenue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*Input!C21)</f>
        <v/>
      </c>
      <c r="E34" s="12">
        <f>D34-C34</f>
        <v/>
      </c>
      <c r="F34" s="256">
        <f>IFERROR((D34-C34)/ABS(C34),0)</f>
        <v/>
      </c>
    </row>
    <row r="35" ht="15.6" customHeight="1">
      <c r="B35" s="307" t="inlineStr">
        <is>
          <t>PAT (Net Profit / Loss)</t>
        </is>
      </c>
      <c r="C35" s="189">
        <f>'P&amp;L'!C43</f>
        <v/>
      </c>
      <c r="D35" s="186">
        <f>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-(MAX(0,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*Input!C21))</f>
        <v/>
      </c>
      <c r="E35" s="12">
        <f>D35-C35</f>
        <v/>
      </c>
      <c r="F35" s="256">
        <f>IFERROR((D35-C35)/ABS(C35),0)</f>
        <v/>
      </c>
    </row>
    <row r="36" ht="15.6" customHeight="1" thickBot="1">
      <c r="B36" s="48" t="inlineStr">
        <is>
          <t>Net Margin %</t>
        </is>
      </c>
      <c r="C36" s="214">
        <f>IFERROR('P&amp;L'!C43/'P&amp;L'!C10,0)</f>
        <v/>
      </c>
      <c r="D36" s="214">
        <f>IFERROR((((('Revenue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-(MAX(0,(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-'P&amp;L'!C33)-((Input!C12*Assumptions!D11+Input!C10*Assumptions!D12+Assumptions!D13*100000+Assumptions!D14*100000+Assumptions!D15*100000+Assumptions!D16*100000+Input!C12*Assumptions!D8*Assumptions!D10)*Assumptions!D22*Input!C22))*Input!C21)))/('Revenue Model'!C14*0.95),0)</f>
        <v/>
      </c>
      <c r="E36" s="286">
        <f>D36-C36</f>
        <v/>
      </c>
      <c r="F36" s="287">
        <f>IFERROR((D36-C36)/ABS(C36),0)</f>
        <v/>
      </c>
    </row>
    <row r="37" ht="15" customHeight="1" thickBot="1">
      <c r="B37" s="282" t="n"/>
      <c r="C37" s="282" t="n"/>
      <c r="D37" s="282" t="n"/>
      <c r="E37" s="282" t="n"/>
      <c r="F37" s="282" t="n"/>
    </row>
    <row r="38" ht="17.4" customHeight="1">
      <c r="B38" s="539" t="inlineStr">
        <is>
          <t xml:space="preserve">  INVESTMENT APPRAISAL</t>
        </is>
      </c>
      <c r="C38" s="594" t="n"/>
      <c r="D38" s="594" t="n"/>
      <c r="E38" s="594" t="n"/>
      <c r="F38" s="603" t="n"/>
    </row>
    <row r="39" ht="15" customHeight="1">
      <c r="B39" s="61" t="inlineStr">
        <is>
          <t>Total CAPEX</t>
        </is>
      </c>
      <c r="C39" s="92">
        <f>'Cost sheet'!C15</f>
        <v/>
      </c>
      <c r="D39" s="92">
        <f>Input!C12*Assumptions!D11+Input!C10*Assumptions!D12+Assumptions!D13*100000+Assumptions!D14*100000+Assumptions!D15*100000+Assumptions!D16*100000+Input!C12*Assumptions!D8*Assumptions!D10</f>
        <v/>
      </c>
      <c r="E39" s="12">
        <f>D39-C39</f>
        <v/>
      </c>
      <c r="F39" s="256">
        <f>IFERROR((D39-C39)/ABS(C39),0)</f>
        <v/>
      </c>
    </row>
    <row r="40" ht="15.6" customHeight="1">
      <c r="B40" s="307">
        <f>"NPV (7-yr, WACC "&amp;TEXT(Input!C20,"0.0%")&amp;")"</f>
        <v/>
      </c>
      <c r="C40" s="326">
        <f>'Investment Appraisal'!C30</f>
        <v/>
      </c>
      <c r="D40" s="326">
        <f>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*((1-(1+Input!C20)^(-Input!C23))/Input!C20)-(Input!C12*Assumptions!D11+Input!C10*Assumptions!D12+Assumptions!D13*100000+Assumptions!D14*100000+Assumptions!D15*100000+Assumptions!D16*100000+Input!C12*Assumptions!D8*Assumptions!D10)</f>
        <v/>
      </c>
      <c r="E40" s="12">
        <f>D40-C40</f>
        <v/>
      </c>
      <c r="F40" s="256">
        <f>IFERROR((D40-C40)/ABS(C40),0)</f>
        <v/>
      </c>
    </row>
    <row r="41" ht="15" customHeight="1">
      <c r="B41" s="61" t="inlineStr">
        <is>
          <t>Annual EBITDA (Yr 1)</t>
        </is>
      </c>
      <c r="C41" s="92">
        <f>'P&amp;L'!C26</f>
        <v/>
      </c>
      <c r="D41" s="92">
        <f>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</f>
        <v/>
      </c>
      <c r="E41" s="12">
        <f>D41-C41</f>
        <v/>
      </c>
      <c r="F41" s="256">
        <f>IFERROR((D41-C41)/ABS(C41),0)</f>
        <v/>
      </c>
    </row>
    <row r="42" ht="15.6" customHeight="1">
      <c r="B42" s="307" t="inlineStr">
        <is>
          <t>EBITDA Margin %</t>
        </is>
      </c>
      <c r="C42" s="327">
        <f>IFERROR('P&amp;L'!C26/'P&amp;L'!C10,0)</f>
        <v/>
      </c>
      <c r="D42" s="327">
        <f>IFERROR(('Revenue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sheet'!C49*12-(Input!C12*Assumptions!D8+Assumptions!D26+Assumptions!D27*2+Assumptions!D28+Assumptions!D29*3+Assumptions!D30+Assumptions!D31+Assumptions!D34+Assumptions!D35+Assumptions!D36+Assumptions!D37+Assumptions!D38+Assumptions!D39+Assumptions!D40)*12)/('Revenue Model'!C14*0.95),0)</f>
        <v/>
      </c>
      <c r="E42" s="254">
        <f>D42-C42</f>
        <v/>
      </c>
      <c r="F42" s="256">
        <f>IFERROR((D42-C42)/ABS(C42),0)</f>
        <v/>
      </c>
    </row>
    <row r="43" ht="15.6" customHeight="1" thickBot="1">
      <c r="B43" s="48" t="inlineStr">
        <is>
          <t>Payback Period</t>
        </is>
      </c>
      <c r="C43" s="323">
        <f>IF('P&amp;L'!C43&gt;0,ROUND('Cost sheet'!C15/'P&amp;L'!C43,1),"Loss-making")</f>
        <v/>
      </c>
      <c r="D43" s="323">
        <f>IFERROR(IF((D35+'P&amp;L'!C33)&lt;=0,"Loss-making",ROUND(D8/(D35+'P&amp;L'!C33),1)),"Loss-making")</f>
        <v/>
      </c>
      <c r="E43" s="328">
        <f>IFERROR(D43-C43,"N/A (one or both loss-making)")</f>
        <v/>
      </c>
      <c r="F43" s="329">
        <f>IFERROR((D43-C43)/ABS(C43),"N/A")</f>
        <v/>
      </c>
    </row>
    <row r="44" ht="15" customHeight="1" thickBot="1">
      <c r="B44" s="282" t="n"/>
      <c r="C44" s="282" t="n"/>
      <c r="D44" s="282" t="n"/>
      <c r="E44" s="282" t="n"/>
      <c r="F44" s="282" t="n"/>
    </row>
    <row r="45" ht="17.4" customHeight="1">
      <c r="B45" s="553" t="inlineStr">
        <is>
          <t xml:space="preserve">  RECOMMENDATION</t>
        </is>
      </c>
      <c r="C45" s="594" t="n"/>
      <c r="D45" s="594" t="n"/>
      <c r="E45" s="594" t="n"/>
      <c r="F45" s="603" t="n"/>
    </row>
    <row r="46" ht="15.6" customHeight="1">
      <c r="B46" s="61" t="inlineStr">
        <is>
          <t>Lower Initial Investment?</t>
        </is>
      </c>
      <c r="C46" s="645">
        <f>IF('Cost sheet'!C15&gt;(Input!C12*Assumptions!D11+Input!C10*Assumptions!D12+Assumptions!D13*100000+Assumptions!D14*100000+Assumptions!D15*100000+Assumptions!D16*100000+Input!C12*Assumptions!D8*Assumptions!D10),"✓ Rent","Owned")</f>
        <v/>
      </c>
      <c r="D46" s="646" t="n"/>
      <c r="E46" s="262" t="inlineStr">
        <is>
          <t>Owned ₹23.9 Cr vs Rent ₹1.59 Cr</t>
        </is>
      </c>
      <c r="F46" s="629" t="n"/>
    </row>
    <row r="47" ht="15.6" customHeight="1">
      <c r="B47" s="61" t="inlineStr">
        <is>
          <t>Lower Monthly Cost?</t>
        </is>
      </c>
      <c r="C47" s="647">
        <f>IF('Cost sheet'!C20&gt;Input!C12*Assumptions!D8,"✓ Rent","Owned")</f>
        <v/>
      </c>
      <c r="D47" s="648" t="n"/>
      <c r="E47" s="262" t="inlineStr">
        <is>
          <t>Owned EMI ₹2.24 Cr vs Rent ₹3.25L/month</t>
        </is>
      </c>
      <c r="F47" s="629" t="n"/>
    </row>
    <row r="48" ht="15.6" customHeight="1">
      <c r="B48" s="61" t="inlineStr">
        <is>
          <t>Better EBITDA (Yr 1)?</t>
        </is>
      </c>
      <c r="C48" s="647">
        <f>IF('P&amp;L'!C26&lt;('Revenue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sheet'!C49*12-(Input!C12*Assumptions!D8+Assumptions!D26+Assumptions!D27*2+Assumptions!D28+Assumptions!D29*3+Assumptions!D30+Assumptions!D31+Assumptions!D34+Assumptions!D35+Assumptions!D36+Assumptions!D37+Assumptions!D38+Assumptions!D39+Assumptions!D40)*12),"✓ Rent","Owned")</f>
        <v/>
      </c>
      <c r="D48" s="648" t="n"/>
      <c r="E48" s="262" t="inlineStr">
        <is>
          <t>Rent EBITDA positive; Owned deeply negative</t>
        </is>
      </c>
      <c r="F48" s="629" t="n"/>
    </row>
    <row r="49" ht="15.6" customHeight="1">
      <c r="B49" s="61" t="inlineStr">
        <is>
          <t>Lower CAPEX Risk?</t>
        </is>
      </c>
      <c r="C49" s="647">
        <f>IF('Cost sheet'!C15&gt;(Input!C12*Assumptions!D11+Input!C10*Assumptions!D12+Assumptions!D13*100000+Assumptions!D14*100000+Assumptions!D15*100000+Assumptions!D16*100000+Input!C12*Assumptions!D8*Assumptions!D10)*5,"✓ Rent (significantly lower)","Comparable")</f>
        <v/>
      </c>
      <c r="D49" s="648" t="n"/>
      <c r="E49" s="262" t="inlineStr">
        <is>
          <t>Owned CAPEX is ~15× higher</t>
        </is>
      </c>
      <c r="F49" s="629" t="n"/>
    </row>
    <row r="50" ht="16.2" customHeight="1" thickBot="1">
      <c r="B50" s="235" t="inlineStr">
        <is>
          <t>OVERALL RECOMMENDATION</t>
        </is>
      </c>
      <c r="C50" s="653">
        <f>IF(AND('P&amp;L'!C26&lt;('Revenue Model'!C14*0.95-'Cost sheet'!C43*'Cost sheet'!C49*12-(Input!C12*Assumptions!D8+Assumptions!D26+Assumptions!D27*2+Assumptions!D28+Assumptions!D29*3+Assumptions!D30+Assumptions!D31+Assumptions!D34+Assumptions!D35+Assumptions!D36+Assumptions!D37+Assumptions!D38+Assumptions!D39+Assumptions!D40)*12),'Cost sheet'!C15&gt;(Input!C12*Assumptions!D11+Input!C10*Assumptions!D12+Assumptions!D13*100000+Assumptions!D14*100000+Assumptions!D15*100000+Assumptions!D16*100000+Input!C12*Assumptions!D8*Assumptions!D10)*5),"✓ RENT — Lower risk, lower investment, better P&amp;L","Review — depends on long-term asset strategy")</f>
        <v/>
      </c>
      <c r="D50" s="655" t="n"/>
      <c r="E50" s="264" t="inlineStr">
        <is>
          <t>At ₹7,500/seat pricing, Rent is strongly preferred</t>
        </is>
      </c>
      <c r="F50" s="651" t="n"/>
    </row>
    <row r="53">
      <c r="B53" s="657" t="inlineStr">
        <is>
          <t xml:space="preserve">  RENT SCENARIO — QUICK APPRAISAL SUMMARY (Year 1 basis)</t>
        </is>
      </c>
    </row>
    <row r="54">
      <c r="B54" s="658" t="inlineStr">
        <is>
          <t>Total CAPEX (Rent path)</t>
        </is>
      </c>
      <c r="C54" s="659">
        <f>D8</f>
        <v/>
      </c>
    </row>
    <row r="55">
      <c r="B55" s="658" t="inlineStr">
        <is>
          <t>Year 1 EBITDA</t>
        </is>
      </c>
      <c r="C55" s="659">
        <f>D41</f>
        <v/>
      </c>
    </row>
    <row r="56">
      <c r="B56" s="658" t="inlineStr">
        <is>
          <t>Year 1 PAT (after interest &amp; tax)</t>
        </is>
      </c>
      <c r="C56" s="659">
        <f>D35</f>
        <v/>
      </c>
    </row>
    <row r="57">
      <c r="B57" s="658" t="inlineStr">
        <is>
          <t>NPV @ WACC (annuity-basis, over loan tenure)</t>
        </is>
      </c>
      <c r="C57" s="659">
        <f>D40</f>
        <v/>
      </c>
    </row>
    <row r="58">
      <c r="B58" s="658" t="inlineStr">
        <is>
          <t>Payback Period (years) — cash-flow basis</t>
        </is>
      </c>
      <c r="C58" s="658">
        <f>D43</f>
        <v/>
      </c>
    </row>
    <row r="60" ht="45" customHeight="1">
      <c r="B60" s="660" t="inlineStr">
        <is>
          <t>Note: A full multi-year IRR for the Rent path is not built out cell-by-cell in this workbook (unlike the Owned path in Investment Appraisal); NPV and cash-flow-basis Payback above are the load-bearing, quotable metrics for Rent. Payback formula corrected to add back non-cash depreciation (previously divided CAPEX by raw PAT, producing a nonsensical negative result).</t>
        </is>
      </c>
    </row>
  </sheetData>
  <mergeCells count="20">
    <mergeCell ref="E50:F50"/>
    <mergeCell ref="B7:F7"/>
    <mergeCell ref="B16:F16"/>
    <mergeCell ref="B3:F3"/>
    <mergeCell ref="E48:F48"/>
    <mergeCell ref="C47:D47"/>
    <mergeCell ref="B2:F2"/>
    <mergeCell ref="B60:F60"/>
    <mergeCell ref="C50:D50"/>
    <mergeCell ref="B23:F23"/>
    <mergeCell ref="B53:F53"/>
    <mergeCell ref="C46:D46"/>
    <mergeCell ref="B38:F38"/>
    <mergeCell ref="E46:F46"/>
    <mergeCell ref="E49:F49"/>
    <mergeCell ref="C48:D48"/>
    <mergeCell ref="B5:F5"/>
    <mergeCell ref="B45:F45"/>
    <mergeCell ref="E47:F47"/>
    <mergeCell ref="C49:D49"/>
  </mergeCells>
  <hyperlinks>
    <hyperlink ref="B1" location="'Navigation Tab'!A1" display="Navigation Tab"/>
  </hyperlinks>
  <pageMargins left="0.3" right="0.3" top="0.3" bottom="0.3" header="0.5" footer="0.5"/>
  <pageSetup orientation="landscape" fitToHeight="0" fitToWidth="1" horizontalDpi="300" verticalDpi="300"/>
</worksheet>
</file>

<file path=xl/worksheets/sheet19.xml><?xml version="1.0" encoding="utf-8"?>
<worksheet xmlns="http://schemas.openxmlformats.org/spreadsheetml/2006/main">
  <sheetPr codeName="Sheet16">
    <outlinePr summaryBelow="1" summaryRight="1"/>
    <pageSetUpPr fitToPage="1"/>
  </sheetPr>
  <dimension ref="B1:I52"/>
  <sheetViews>
    <sheetView showGridLines="0" zoomScale="115" zoomScaleNormal="115" workbookViewId="0">
      <selection activeCell="B1" sqref="B1"/>
    </sheetView>
  </sheetViews>
  <sheetFormatPr baseColWidth="8" defaultColWidth="8.6640625" defaultRowHeight="14.4"/>
  <cols>
    <col width="2" customWidth="1" min="1" max="1"/>
    <col width="28" customWidth="1" min="2" max="2"/>
    <col width="22" customWidth="1" min="3" max="3"/>
    <col width="3" customWidth="1" min="4" max="4"/>
    <col width="28" customWidth="1" min="5" max="5"/>
    <col width="22" customWidth="1" min="6" max="6"/>
    <col width="3" customWidth="1" min="7" max="7"/>
    <col width="28" customWidth="1" min="8" max="8"/>
    <col width="22" customWidth="1" min="9" max="9"/>
  </cols>
  <sheetData>
    <row r="1" ht="21" customHeight="1">
      <c r="B1" s="384" t="inlineStr">
        <is>
          <t>Navigation Tab</t>
        </is>
      </c>
    </row>
    <row r="2" ht="39.75" customHeight="1">
      <c r="B2" s="566" t="inlineStr">
        <is>
          <t>🏢  COWORKING SPACE — PANJIM, GOA  |  FINANCIAL MODEL EXECUTIVE DASHBOARD</t>
        </is>
      </c>
    </row>
    <row r="3" ht="18" customHeight="1">
      <c r="B3" s="385" t="n"/>
      <c r="C3" s="385" t="n"/>
      <c r="D3" s="385" t="n"/>
      <c r="E3" s="385" t="n"/>
      <c r="F3" s="385" t="n"/>
      <c r="G3" s="385" t="n"/>
      <c r="H3" s="385" t="n"/>
      <c r="I3" s="385" t="n"/>
    </row>
    <row r="4" ht="7.5" customHeight="1"/>
    <row r="5" ht="21.75" customHeight="1">
      <c r="B5" s="567" t="inlineStr">
        <is>
          <t xml:space="preserve">  KEY INPUTS</t>
        </is>
      </c>
      <c r="C5" s="586" t="n"/>
      <c r="E5" s="568" t="inlineStr">
        <is>
          <t xml:space="preserve">  REVENUE</t>
        </is>
      </c>
      <c r="F5" s="586" t="n"/>
      <c r="H5" s="569" t="inlineStr">
        <is>
          <t xml:space="preserve">  COSTS</t>
        </is>
      </c>
      <c r="I5" s="586" t="n"/>
    </row>
    <row r="6" ht="19.5" customHeight="1">
      <c r="B6" s="570" t="inlineStr">
        <is>
          <t>Active Scenario</t>
        </is>
      </c>
      <c r="C6" s="585" t="n"/>
      <c r="E6" s="571" t="inlineStr">
        <is>
          <t>Monthly Revenue</t>
        </is>
      </c>
      <c r="F6" s="585" t="n"/>
      <c r="H6" s="572" t="inlineStr">
        <is>
          <t>Total Monthly Cost</t>
        </is>
      </c>
      <c r="I6" s="585" t="n"/>
    </row>
    <row r="7" ht="27.75" customHeight="1">
      <c r="B7" s="573">
        <f>Input!C6</f>
        <v/>
      </c>
      <c r="C7" s="585" t="n"/>
      <c r="E7" s="574">
        <f>Revenue!F21</f>
        <v/>
      </c>
      <c r="F7" s="585" t="n"/>
      <c r="H7" s="574">
        <f>'Cost sheet'!C53</f>
        <v/>
      </c>
      <c r="I7" s="585" t="n"/>
    </row>
    <row r="8" ht="15.75" customHeight="1">
      <c r="B8" s="4" t="inlineStr">
        <is>
          <t>Change in Input!C6</t>
        </is>
      </c>
      <c r="E8" s="4" t="inlineStr">
        <is>
          <t>All 7 revenue streams</t>
        </is>
      </c>
      <c r="H8" s="4" t="inlineStr">
        <is>
          <t>Fixed + Variable</t>
        </is>
      </c>
    </row>
    <row r="9" ht="15.75" customHeight="1"/>
    <row r="10" ht="19.5" customHeight="1">
      <c r="B10" s="570" t="inlineStr">
        <is>
          <t>Seats / Occupancy</t>
        </is>
      </c>
      <c r="C10" s="585" t="n"/>
      <c r="E10" s="571" t="inlineStr">
        <is>
          <t>Annual Revenue Yr 1</t>
        </is>
      </c>
      <c r="F10" s="585" t="n"/>
      <c r="H10" s="572" t="inlineStr">
        <is>
          <t>Fixed Cost / month</t>
        </is>
      </c>
      <c r="I10" s="585" t="n"/>
    </row>
    <row r="11" ht="27.75" customHeight="1">
      <c r="B11" s="573">
        <f>Input!C10&amp;" seats / "&amp;TEXT(Input!C13,"0%")</f>
        <v/>
      </c>
      <c r="C11" s="585" t="n"/>
      <c r="E11" s="574">
        <f>'Revenue Model'!C14</f>
        <v/>
      </c>
      <c r="F11" s="585" t="n"/>
      <c r="H11" s="574">
        <f>'Cost sheet'!C34</f>
        <v/>
      </c>
      <c r="I11" s="585" t="n"/>
    </row>
    <row r="12" ht="15.75" customHeight="1">
      <c r="B12" s="4" t="inlineStr">
        <is>
          <t>From Input sheet</t>
        </is>
      </c>
      <c r="E12" s="4" t="inlineStr">
        <is>
          <t>From Rev_Model</t>
        </is>
      </c>
      <c r="H12" s="4" t="inlineStr">
        <is>
          <t>Rent/EMI + overheads</t>
        </is>
      </c>
    </row>
    <row r="13" ht="15.75" customHeight="1"/>
    <row r="14" ht="19.5" customHeight="1">
      <c r="B14" s="570" t="inlineStr">
        <is>
          <t>Price per Seat (₹/mo)</t>
        </is>
      </c>
      <c r="C14" s="585" t="n"/>
      <c r="E14" s="571" t="inlineStr">
        <is>
          <t>5-Year Cum. Revenue</t>
        </is>
      </c>
      <c r="F14" s="585" t="n"/>
      <c r="H14" s="572" t="inlineStr">
        <is>
          <t>Variable Cost / seat</t>
        </is>
      </c>
      <c r="I14" s="585" t="n"/>
    </row>
    <row r="15" ht="27.75" customHeight="1">
      <c r="B15" s="574">
        <f>Input!C14</f>
        <v/>
      </c>
      <c r="C15" s="585" t="n"/>
      <c r="E15" s="574">
        <f>'Revenue Model'!H14</f>
        <v/>
      </c>
      <c r="F15" s="585" t="n"/>
      <c r="H15" s="574">
        <f>'Cost sheet'!C43</f>
        <v/>
      </c>
      <c r="I15" s="585" t="n"/>
    </row>
    <row r="16" ht="15.75" customHeight="1">
      <c r="B16" s="4" t="inlineStr">
        <is>
          <t>Input!C14</t>
        </is>
      </c>
      <c r="E16" s="4" t="inlineStr">
        <is>
          <t>Yr1 to Yr5 total</t>
        </is>
      </c>
      <c r="H16" s="4" t="inlineStr">
        <is>
          <t>₹900 / occupied seat</t>
        </is>
      </c>
    </row>
    <row r="17" ht="15.75" customHeight="1"/>
    <row r="18" ht="7.5" customHeight="1"/>
    <row r="19" ht="21.75" customHeight="1">
      <c r="B19" s="575" t="inlineStr">
        <is>
          <t xml:space="preserve">  P&amp;L — YEAR 1</t>
        </is>
      </c>
      <c r="C19" s="586" t="n"/>
      <c r="E19" s="575" t="inlineStr">
        <is>
          <t xml:space="preserve">  PROFITABILITY RATIOS</t>
        </is>
      </c>
      <c r="F19" s="586" t="n"/>
      <c r="H19" s="575" t="inlineStr">
        <is>
          <t xml:space="preserve">  BREAK-EVEN</t>
        </is>
      </c>
      <c r="I19" s="586" t="n"/>
    </row>
    <row r="20" ht="19.5" customHeight="1">
      <c r="B20" s="576" t="inlineStr">
        <is>
          <t>EBITDA (Annual Yr 1)</t>
        </is>
      </c>
      <c r="C20" s="585" t="n"/>
      <c r="E20" s="576" t="inlineStr">
        <is>
          <t>Gross Margin %</t>
        </is>
      </c>
      <c r="F20" s="585" t="n"/>
      <c r="H20" s="576" t="inlineStr">
        <is>
          <t>BEP Seats Required</t>
        </is>
      </c>
      <c r="I20" s="585" t="n"/>
    </row>
    <row r="21" ht="27.75" customHeight="1">
      <c r="B21" s="574">
        <f>'P&amp;L'!C26</f>
        <v/>
      </c>
      <c r="C21" s="585" t="n"/>
      <c r="E21" s="577">
        <f>'P&amp;L'!C15</f>
        <v/>
      </c>
      <c r="F21" s="585" t="n"/>
      <c r="H21" s="578">
        <f>'Break Even'!C27</f>
        <v/>
      </c>
      <c r="I21" s="585" t="n"/>
    </row>
    <row r="22" ht="15.75" customHeight="1">
      <c r="B22" s="4" t="inlineStr">
        <is>
          <t>EBITDA = GP − Fixed OpEx</t>
        </is>
      </c>
      <c r="E22" s="4" t="inlineStr">
        <is>
          <t>GP / Net Revenue</t>
        </is>
      </c>
      <c r="H22" s="4" t="inlineStr">
        <is>
          <t>At current price/cost</t>
        </is>
      </c>
    </row>
    <row r="23" ht="15.75" customHeight="1"/>
    <row r="24" ht="19.5" customHeight="1">
      <c r="B24" s="576" t="inlineStr">
        <is>
          <t>PAT (Net Profit Yr 1)</t>
        </is>
      </c>
      <c r="C24" s="585" t="n"/>
      <c r="E24" s="576" t="inlineStr">
        <is>
          <t>Net Margin % (Yr 1)</t>
        </is>
      </c>
      <c r="F24" s="585" t="n"/>
      <c r="H24" s="576" t="inlineStr">
        <is>
          <t>BEP Occupancy %</t>
        </is>
      </c>
      <c r="I24" s="585" t="n"/>
    </row>
    <row r="25" ht="27.75" customHeight="1">
      <c r="B25" s="574">
        <f>'P&amp;L'!C43</f>
        <v/>
      </c>
      <c r="C25" s="585" t="n"/>
      <c r="E25" s="577">
        <f>IFERROR('P&amp;L'!C43/'P&amp;L'!C10,0)</f>
        <v/>
      </c>
      <c r="F25" s="585" t="n"/>
      <c r="H25" s="577">
        <f>'Break Even'!C28</f>
        <v/>
      </c>
      <c r="I25" s="585" t="n"/>
    </row>
    <row r="26" ht="15.75" customHeight="1">
      <c r="B26" s="4" t="inlineStr">
        <is>
          <t>After tax</t>
        </is>
      </c>
      <c r="E26" s="4" t="inlineStr">
        <is>
          <t>PAT / Net Revenue</t>
        </is>
      </c>
      <c r="H26" s="4" t="inlineStr">
        <is>
          <t>&gt;100% = unachievable now</t>
        </is>
      </c>
    </row>
    <row r="27" ht="15.75" customHeight="1"/>
    <row r="28" ht="19.5" customHeight="1">
      <c r="B28" s="576" t="inlineStr">
        <is>
          <t>5-Year Cumul. PAT</t>
        </is>
      </c>
      <c r="C28" s="585" t="n"/>
      <c r="E28" s="576" t="inlineStr">
        <is>
          <t>EBITDA Margin % (Yr 1)</t>
        </is>
      </c>
      <c r="F28" s="585" t="n"/>
      <c r="H28" s="576" t="inlineStr">
        <is>
          <t>BEP Price / Seat</t>
        </is>
      </c>
      <c r="I28" s="585" t="n"/>
    </row>
    <row r="29" ht="27.75" customHeight="1">
      <c r="B29" s="574">
        <f>'P&amp;L'!G45</f>
        <v/>
      </c>
      <c r="C29" s="585" t="n"/>
      <c r="E29" s="577">
        <f>IFERROR('P&amp;L'!C26/'P&amp;L'!C10,0)</f>
        <v/>
      </c>
      <c r="F29" s="585" t="n"/>
      <c r="H29" s="574">
        <f>Occupancy!C49</f>
        <v/>
      </c>
      <c r="I29" s="585" t="n"/>
    </row>
    <row r="30" ht="15.75" customHeight="1">
      <c r="B30" s="4" t="inlineStr">
        <is>
          <t>Retained earnings Yr5</t>
        </is>
      </c>
      <c r="E30" s="4" t="inlineStr">
        <is>
          <t>EBITDA / Net Revenue</t>
        </is>
      </c>
      <c r="H30" s="4" t="inlineStr">
        <is>
          <t>Required price for BEP</t>
        </is>
      </c>
    </row>
    <row r="31" ht="15.75" customHeight="1"/>
    <row r="32" ht="7.5" customHeight="1"/>
    <row r="33" ht="21.75" customHeight="1">
      <c r="B33" s="567" t="inlineStr">
        <is>
          <t xml:space="preserve">  INVESTMENT METRICS</t>
        </is>
      </c>
      <c r="C33" s="586" t="n"/>
      <c r="E33" s="567" t="inlineStr">
        <is>
          <t xml:space="preserve">  CASH POSITION</t>
        </is>
      </c>
      <c r="F33" s="586" t="n"/>
      <c r="H33" s="567" t="inlineStr">
        <is>
          <t xml:space="preserve">  WORKING CAPITAL</t>
        </is>
      </c>
      <c r="I33" s="586" t="n"/>
    </row>
    <row r="34" ht="19.5" customHeight="1">
      <c r="B34" s="570" t="inlineStr">
        <is>
          <t>Total CAPEX</t>
        </is>
      </c>
      <c r="C34" s="585" t="n"/>
      <c r="E34" s="570" t="inlineStr">
        <is>
          <t>Dec Yr1 Cash Balance</t>
        </is>
      </c>
      <c r="F34" s="585" t="n"/>
      <c r="H34" s="570" t="inlineStr">
        <is>
          <t>Net Working Capital</t>
        </is>
      </c>
      <c r="I34" s="585" t="n"/>
    </row>
    <row r="35" ht="27.75" customHeight="1">
      <c r="B35" s="574">
        <f>'Cost sheet'!C15</f>
        <v/>
      </c>
      <c r="C35" s="585" t="n"/>
      <c r="E35" s="574">
        <f>'Cash Budget'!N24</f>
        <v/>
      </c>
      <c r="F35" s="585" t="n"/>
      <c r="H35" s="574">
        <f>'Working Capital'!C22</f>
        <v/>
      </c>
      <c r="I35" s="585" t="n"/>
    </row>
    <row r="36" ht="15.75" customHeight="1">
      <c r="B36" s="4" t="inlineStr">
        <is>
          <t>Initial investment</t>
        </is>
      </c>
      <c r="E36" s="4" t="inlineStr">
        <is>
          <t>End of Year 1</t>
        </is>
      </c>
      <c r="H36" s="4" t="inlineStr">
        <is>
          <t>CA − CL (Year 1)</t>
        </is>
      </c>
    </row>
    <row r="37" ht="15.75" customHeight="1"/>
    <row r="38" ht="19.5" customHeight="1">
      <c r="B38" s="570">
        <f>"NPV (7-yr, WACC "&amp;TEXT(Input!C20,"0.0%")&amp;")"</f>
        <v/>
      </c>
      <c r="C38" s="585" t="n"/>
      <c r="E38" s="570" t="inlineStr">
        <is>
          <t>Yr 3 Cash Position</t>
        </is>
      </c>
      <c r="F38" s="585" t="n"/>
      <c r="H38" s="570" t="inlineStr">
        <is>
          <t>Current Ratio (Yr 1)</t>
        </is>
      </c>
      <c r="I38" s="585" t="n"/>
    </row>
    <row r="39" ht="27.75" customHeight="1">
      <c r="B39" s="574">
        <f>'Investment Appraisal'!C30</f>
        <v/>
      </c>
      <c r="C39" s="585" t="n"/>
      <c r="E39" s="574">
        <f>'Cash Budget'!D32</f>
        <v/>
      </c>
      <c r="F39" s="585" t="n"/>
      <c r="H39" s="579">
        <f>'Working Capital'!C23</f>
        <v/>
      </c>
      <c r="I39" s="585" t="n"/>
    </row>
    <row r="40" ht="15.75" customHeight="1">
      <c r="B40" s="4" t="inlineStr">
        <is>
          <t>NPV&lt;0 = destroys value</t>
        </is>
      </c>
      <c r="E40" s="4" t="inlineStr">
        <is>
          <t>Cumulative cash position, Owned scenario</t>
        </is>
      </c>
      <c r="H40" s="4" t="inlineStr">
        <is>
          <t>&gt; 1.5 = healthy</t>
        </is>
      </c>
    </row>
    <row r="41" ht="15.75" customHeight="1"/>
    <row r="42" ht="19.5" customHeight="1">
      <c r="B42" s="570" t="inlineStr">
        <is>
          <t>IRR</t>
        </is>
      </c>
      <c r="C42" s="585" t="n"/>
      <c r="E42" s="570" t="inlineStr">
        <is>
          <t>Avg Monthly Net CF</t>
        </is>
      </c>
      <c r="F42" s="585" t="n"/>
      <c r="H42" s="570" t="inlineStr">
        <is>
          <t>Cash Buffer (months)</t>
        </is>
      </c>
      <c r="I42" s="585" t="n"/>
    </row>
    <row r="43" ht="27.75" customHeight="1">
      <c r="B43" s="582">
        <f>'Investment Appraisal'!C31</f>
        <v/>
      </c>
      <c r="C43" s="585" t="n"/>
      <c r="E43" s="574">
        <f>'Cash Budget'!C40</f>
        <v/>
      </c>
      <c r="F43" s="585" t="n"/>
      <c r="H43" s="583">
        <f>'Working Capital'!C25</f>
        <v/>
      </c>
      <c r="I43" s="585" t="n"/>
    </row>
    <row r="44" ht="15.75" customHeight="1">
      <c r="B44" s="4">
        <f>"IRR &gt; WACC ("&amp;TEXT(Input!C20,"0.0%")&amp;") = accept"</f>
        <v/>
      </c>
      <c r="E44" s="4" t="inlineStr">
        <is>
          <t>Year 1 average</t>
        </is>
      </c>
      <c r="H44" s="4" t="inlineStr">
        <is>
          <t>&gt; 3 months = healthy</t>
        </is>
      </c>
    </row>
    <row r="45" ht="15.75" customHeight="1"/>
    <row r="46" ht="7.5" customHeight="1"/>
    <row r="47" ht="21.75" customHeight="1">
      <c r="B47" s="580" t="inlineStr">
        <is>
          <t xml:space="preserve">  OVERALL RECOMMENDATION (SWITCHES BY SCENARIO)</t>
        </is>
      </c>
      <c r="C47" s="585" t="n"/>
      <c r="D47" s="585" t="n"/>
      <c r="E47" s="585" t="n"/>
      <c r="F47" s="585" t="n"/>
      <c r="G47" s="585" t="n"/>
      <c r="H47" s="585" t="n"/>
      <c r="I47" s="586" t="n"/>
    </row>
    <row r="48" ht="30" customHeight="1">
      <c r="B48" s="654">
        <f>'Scenario '!C50</f>
        <v/>
      </c>
      <c r="C48" s="656" t="n"/>
      <c r="D48" s="656" t="n"/>
      <c r="E48" s="656" t="n"/>
      <c r="F48" s="656" t="n"/>
      <c r="G48" s="656" t="n"/>
      <c r="H48" s="656" t="n"/>
      <c r="I48" s="655" t="n"/>
    </row>
    <row r="50" ht="19.5" customHeight="1">
      <c r="B50" s="575" t="inlineStr">
        <is>
          <t xml:space="preserve">  MODEL INTEGRITY CHECKS</t>
        </is>
      </c>
      <c r="C50" s="585" t="n"/>
      <c r="D50" s="585" t="n"/>
      <c r="E50" s="585" t="n"/>
      <c r="F50" s="585" t="n"/>
      <c r="G50" s="585" t="n"/>
      <c r="H50" s="585" t="n"/>
      <c r="I50" s="586" t="n"/>
    </row>
    <row r="51" ht="19.5" customHeight="1">
      <c r="B51" s="5" t="inlineStr">
        <is>
          <t>Rev = Rev_Model</t>
        </is>
      </c>
      <c r="C51" s="5" t="inlineStr">
        <is>
          <t>Cost D check</t>
        </is>
      </c>
      <c r="E51" s="5" t="inlineStr">
        <is>
          <t>P&amp;L Rev check</t>
        </is>
      </c>
      <c r="F51" s="5" t="inlineStr">
        <is>
          <t>P&amp;L EBITDA</t>
        </is>
      </c>
      <c r="G51" s="5" t="inlineStr">
        <is>
          <t>P&amp;L PAT</t>
        </is>
      </c>
      <c r="H51" s="5" t="inlineStr">
        <is>
          <t>BEP check</t>
        </is>
      </c>
      <c r="I51" s="5" t="inlineStr">
        <is>
          <t>P/V method</t>
        </is>
      </c>
    </row>
    <row r="52" ht="24" customHeight="1">
      <c r="B52" s="6">
        <f>'Cost sheet'!C74</f>
        <v/>
      </c>
      <c r="C52" s="6">
        <f>'Cost sheet'!C75</f>
        <v/>
      </c>
      <c r="E52" s="6">
        <f>'P&amp;L'!C55</f>
        <v/>
      </c>
      <c r="F52" s="6">
        <f>'P&amp;L'!C56</f>
        <v/>
      </c>
      <c r="G52" s="6">
        <f>'P&amp;L'!C57</f>
        <v/>
      </c>
      <c r="H52" s="6">
        <f>'Break Even'!C64</f>
        <v/>
      </c>
      <c r="I52" s="6">
        <f>'Break Even'!C65</f>
        <v/>
      </c>
    </row>
  </sheetData>
  <mergeCells count="67">
    <mergeCell ref="E43:F43"/>
    <mergeCell ref="H35:I35"/>
    <mergeCell ref="H20:I20"/>
    <mergeCell ref="H38:I38"/>
    <mergeCell ref="B25:C25"/>
    <mergeCell ref="E24:F24"/>
    <mergeCell ref="H29:I29"/>
    <mergeCell ref="B47:I47"/>
    <mergeCell ref="B7:C7"/>
    <mergeCell ref="H43:I43"/>
    <mergeCell ref="E33:F33"/>
    <mergeCell ref="H10:I10"/>
    <mergeCell ref="E42:F42"/>
    <mergeCell ref="E5:F5"/>
    <mergeCell ref="E14:F14"/>
    <mergeCell ref="E39:F39"/>
    <mergeCell ref="B43:C43"/>
    <mergeCell ref="B39:C39"/>
    <mergeCell ref="H39:I39"/>
    <mergeCell ref="E35:F35"/>
    <mergeCell ref="H34:I34"/>
    <mergeCell ref="H25:I25"/>
    <mergeCell ref="B48:I48"/>
    <mergeCell ref="E38:F38"/>
    <mergeCell ref="E20:F20"/>
    <mergeCell ref="E29:F29"/>
    <mergeCell ref="B21:C21"/>
    <mergeCell ref="H21:I21"/>
    <mergeCell ref="B11:C11"/>
    <mergeCell ref="E10:F10"/>
    <mergeCell ref="E19:F19"/>
    <mergeCell ref="B2:I2"/>
    <mergeCell ref="B42:C42"/>
    <mergeCell ref="H6:I6"/>
    <mergeCell ref="E28:F28"/>
    <mergeCell ref="B14:C14"/>
    <mergeCell ref="E34:F34"/>
    <mergeCell ref="H11:I11"/>
    <mergeCell ref="B38:C38"/>
    <mergeCell ref="E6:F6"/>
    <mergeCell ref="B29:C29"/>
    <mergeCell ref="E15:F15"/>
    <mergeCell ref="B19:C19"/>
    <mergeCell ref="B34:C34"/>
    <mergeCell ref="H7:I7"/>
    <mergeCell ref="E11:F11"/>
    <mergeCell ref="B28:C28"/>
    <mergeCell ref="B10:C10"/>
    <mergeCell ref="H19:I19"/>
    <mergeCell ref="H28:I28"/>
    <mergeCell ref="B6:C6"/>
    <mergeCell ref="B24:C24"/>
    <mergeCell ref="B15:C15"/>
    <mergeCell ref="B33:C33"/>
    <mergeCell ref="E7:F7"/>
    <mergeCell ref="E25:F25"/>
    <mergeCell ref="H24:I24"/>
    <mergeCell ref="H42:I42"/>
    <mergeCell ref="B20:C20"/>
    <mergeCell ref="H15:I15"/>
    <mergeCell ref="H33:I33"/>
    <mergeCell ref="B5:C5"/>
    <mergeCell ref="H5:I5"/>
    <mergeCell ref="H14:I14"/>
    <mergeCell ref="B35:C35"/>
    <mergeCell ref="B50:I50"/>
    <mergeCell ref="E21:F21"/>
  </mergeCells>
  <conditionalFormatting sqref="B21">
    <cfRule type="cellIs" priority="1" operator="lessThan" dxfId="0">
      <formula>0</formula>
    </cfRule>
  </conditionalFormatting>
  <conditionalFormatting sqref="B25">
    <cfRule type="cellIs" priority="2" operator="lessThan" dxfId="0">
      <formula>0</formula>
    </cfRule>
  </conditionalFormatting>
  <conditionalFormatting sqref="B29">
    <cfRule type="cellIs" priority="3" operator="lessThan" dxfId="0">
      <formula>0</formula>
    </cfRule>
  </conditionalFormatting>
  <conditionalFormatting sqref="B39">
    <cfRule type="cellIs" priority="4" operator="lessThan" dxfId="0">
      <formula>0</formula>
    </cfRule>
  </conditionalFormatting>
  <conditionalFormatting sqref="B43">
    <cfRule type="expression" priority="5" dxfId="0">
      <formula>EXACT(B43,"Loss-making")</formula>
    </cfRule>
  </conditionalFormatting>
  <hyperlinks>
    <hyperlink ref="B1" location="'Navigation Tab'!A1" display="Navigation Tab"/>
  </hyperlinks>
  <pageMargins left="0.3" right="0.3" top="0.3" bottom="0.3" header="0.5" footer="0.5"/>
  <pageSetup orientation="landscape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2026-03-27T07:58:13Z</dcterms:created>
  <dcterms:modified xmlns:dcterms="http://purl.org/dc/terms/" xmlns:xsi="http://www.w3.org/2001/XMLSchema-instance" xsi:type="dcterms:W3CDTF">2026-08-09T16:36:18Z</dcterms:modified>
  <cp:lastModifiedBy>LIG3</cp:lastModifiedBy>
  <cp:revision>3</cp:revision>
</cp:coreProperties>
</file>